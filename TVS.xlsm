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-15" yWindow="5040" windowWidth="24030" windowHeight="5100"/>
  </bookViews>
  <sheets>
    <sheet name="Протокол" sheetId="5" r:id="rId1"/>
    <sheet name="Лист1" sheetId="1" r:id="rId2"/>
    <sheet name="Data" sheetId="6" r:id="rId3"/>
  </sheets>
  <functionGroups builtInGroupCount="17"/>
  <definedNames>
    <definedName name="_xlnm.Print_Area" localSheetId="0">Протокол!$A$1:$H$50</definedName>
  </definedNames>
  <calcPr calcId="145621" refMode="R1C1"/>
</workbook>
</file>

<file path=xl/calcChain.xml><?xml version="1.0" encoding="utf-8"?>
<calcChain xmlns="http://schemas.openxmlformats.org/spreadsheetml/2006/main">
  <c r="L3" i="6" l="1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2" i="6"/>
  <c r="C5" i="5" l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1" i="1"/>
  <c r="Q44" i="6" l="1"/>
  <c r="O44" i="6"/>
  <c r="O26" i="6" l="1"/>
  <c r="Q26" i="6"/>
  <c r="R26" i="6"/>
  <c r="F35" i="5" l="1"/>
  <c r="F36" i="5"/>
  <c r="F37" i="5"/>
  <c r="F38" i="5"/>
  <c r="F39" i="5"/>
  <c r="F40" i="5"/>
  <c r="F41" i="5" l="1"/>
  <c r="O2" i="6" l="1"/>
  <c r="Q2" i="6"/>
  <c r="R2" i="6"/>
  <c r="O3" i="6"/>
  <c r="Q3" i="6"/>
  <c r="R3" i="6"/>
  <c r="O4" i="6"/>
  <c r="Q4" i="6"/>
  <c r="R4" i="6"/>
  <c r="O5" i="6"/>
  <c r="Q5" i="6"/>
  <c r="R5" i="6"/>
  <c r="O6" i="6"/>
  <c r="Q6" i="6"/>
  <c r="R6" i="6"/>
  <c r="O7" i="6"/>
  <c r="Q7" i="6"/>
  <c r="R7" i="6"/>
  <c r="O8" i="6"/>
  <c r="Q8" i="6"/>
  <c r="R8" i="6"/>
  <c r="O9" i="6"/>
  <c r="Q9" i="6"/>
  <c r="R9" i="6"/>
  <c r="O10" i="6" l="1"/>
  <c r="Q10" i="6"/>
  <c r="R10" i="6"/>
  <c r="O11" i="6"/>
  <c r="Q11" i="6"/>
  <c r="R11" i="6"/>
  <c r="O12" i="6"/>
  <c r="Q12" i="6"/>
  <c r="R12" i="6"/>
  <c r="O13" i="6"/>
  <c r="Q13" i="6"/>
  <c r="R13" i="6"/>
  <c r="O14" i="6"/>
  <c r="Q14" i="6"/>
  <c r="R14" i="6"/>
  <c r="O15" i="6"/>
  <c r="Q15" i="6"/>
  <c r="R15" i="6"/>
  <c r="O16" i="6"/>
  <c r="Q16" i="6"/>
  <c r="R16" i="6"/>
  <c r="O17" i="6"/>
  <c r="Q17" i="6"/>
  <c r="R17" i="6"/>
  <c r="O18" i="6"/>
  <c r="Q18" i="6"/>
  <c r="R18" i="6"/>
  <c r="O19" i="6"/>
  <c r="Q19" i="6"/>
  <c r="R19" i="6"/>
  <c r="O20" i="6"/>
  <c r="Q20" i="6"/>
  <c r="R20" i="6"/>
  <c r="O22" i="6"/>
  <c r="Q22" i="6"/>
  <c r="R22" i="6"/>
  <c r="O23" i="6"/>
  <c r="Q23" i="6"/>
  <c r="R23" i="6"/>
  <c r="O24" i="6"/>
  <c r="Q24" i="6"/>
  <c r="R24" i="6"/>
  <c r="O25" i="6"/>
  <c r="Q25" i="6"/>
  <c r="R25" i="6"/>
  <c r="O27" i="6"/>
  <c r="Q27" i="6"/>
  <c r="R27" i="6"/>
  <c r="O28" i="6"/>
  <c r="Q28" i="6"/>
  <c r="R28" i="6"/>
  <c r="O29" i="6"/>
  <c r="Q29" i="6"/>
  <c r="R29" i="6"/>
  <c r="O30" i="6"/>
  <c r="Q30" i="6"/>
  <c r="R30" i="6"/>
  <c r="O31" i="6"/>
  <c r="Q31" i="6"/>
  <c r="R31" i="6"/>
  <c r="O32" i="6"/>
  <c r="Q32" i="6"/>
  <c r="R32" i="6"/>
  <c r="O33" i="6"/>
  <c r="Q33" i="6"/>
  <c r="R33" i="6"/>
  <c r="O34" i="6"/>
  <c r="Q34" i="6"/>
  <c r="R34" i="6"/>
  <c r="O35" i="6"/>
  <c r="Q35" i="6"/>
  <c r="R35" i="6"/>
  <c r="O36" i="6"/>
  <c r="Q36" i="6"/>
  <c r="R36" i="6"/>
  <c r="O37" i="6"/>
  <c r="Q37" i="6"/>
  <c r="R37" i="6"/>
  <c r="O38" i="6"/>
  <c r="Q38" i="6"/>
  <c r="R38" i="6"/>
  <c r="O39" i="6"/>
  <c r="Q39" i="6"/>
  <c r="R39" i="6"/>
  <c r="O40" i="6"/>
  <c r="Q40" i="6"/>
  <c r="R40" i="6"/>
  <c r="O41" i="6"/>
  <c r="Q41" i="6"/>
  <c r="R41" i="6"/>
  <c r="O42" i="6"/>
  <c r="Q42" i="6"/>
  <c r="R42" i="6"/>
  <c r="O43" i="6"/>
  <c r="Q43" i="6"/>
  <c r="R43" i="6"/>
  <c r="O45" i="6"/>
  <c r="Q45" i="6"/>
  <c r="R45" i="6"/>
  <c r="O46" i="6"/>
  <c r="Q46" i="6"/>
  <c r="R46" i="6"/>
  <c r="O47" i="6"/>
  <c r="Q47" i="6"/>
  <c r="R47" i="6"/>
  <c r="O48" i="6"/>
  <c r="Q48" i="6"/>
  <c r="R48" i="6"/>
  <c r="O49" i="6"/>
  <c r="Q49" i="6"/>
  <c r="R49" i="6"/>
  <c r="O50" i="6"/>
  <c r="Q50" i="6"/>
  <c r="R50" i="6"/>
  <c r="O51" i="6"/>
  <c r="Q51" i="6"/>
  <c r="R51" i="6"/>
  <c r="O52" i="6"/>
  <c r="Q52" i="6"/>
  <c r="R52" i="6"/>
  <c r="O53" i="6"/>
  <c r="Q53" i="6"/>
  <c r="R53" i="6"/>
  <c r="O54" i="6"/>
  <c r="Q54" i="6"/>
  <c r="R54" i="6"/>
  <c r="O55" i="6"/>
  <c r="Q55" i="6"/>
  <c r="R55" i="6"/>
  <c r="O56" i="6"/>
  <c r="Q56" i="6"/>
  <c r="R56" i="6"/>
  <c r="O57" i="6"/>
  <c r="Q57" i="6"/>
  <c r="R57" i="6"/>
  <c r="O58" i="6"/>
  <c r="Q58" i="6"/>
  <c r="O59" i="6"/>
  <c r="Q59" i="6"/>
  <c r="R59" i="6"/>
  <c r="O60" i="6"/>
  <c r="Q60" i="6"/>
  <c r="R60" i="6"/>
  <c r="O61" i="6"/>
  <c r="Q61" i="6"/>
  <c r="R61" i="6"/>
  <c r="O62" i="6"/>
  <c r="Q62" i="6"/>
  <c r="R62" i="6"/>
  <c r="O63" i="6"/>
  <c r="Q63" i="6"/>
  <c r="R63" i="6"/>
  <c r="O64" i="6"/>
  <c r="Q64" i="6"/>
  <c r="R64" i="6"/>
  <c r="O65" i="6"/>
  <c r="Q65" i="6"/>
  <c r="R65" i="6"/>
  <c r="O66" i="6"/>
  <c r="Q66" i="6"/>
  <c r="R66" i="6"/>
  <c r="O67" i="6"/>
  <c r="Q67" i="6"/>
  <c r="R67" i="6"/>
  <c r="O68" i="6"/>
  <c r="Q68" i="6"/>
  <c r="R68" i="6"/>
  <c r="O69" i="6"/>
  <c r="Q69" i="6"/>
  <c r="R69" i="6"/>
  <c r="O70" i="6"/>
  <c r="Q70" i="6"/>
  <c r="R70" i="6"/>
  <c r="O71" i="6"/>
  <c r="Q71" i="6"/>
  <c r="R71" i="6"/>
  <c r="O72" i="6"/>
  <c r="Q72" i="6"/>
  <c r="R72" i="6"/>
  <c r="O73" i="6"/>
  <c r="Q73" i="6"/>
  <c r="R73" i="6"/>
  <c r="O74" i="6"/>
  <c r="Q74" i="6"/>
  <c r="R74" i="6"/>
  <c r="O75" i="6"/>
  <c r="Q75" i="6"/>
  <c r="R75" i="6"/>
  <c r="O76" i="6"/>
  <c r="Q76" i="6"/>
  <c r="R76" i="6"/>
  <c r="O77" i="6"/>
  <c r="Q77" i="6"/>
  <c r="R77" i="6"/>
  <c r="O78" i="6"/>
  <c r="Q78" i="6"/>
  <c r="R78" i="6"/>
  <c r="O79" i="6"/>
  <c r="Q79" i="6"/>
  <c r="R79" i="6"/>
  <c r="O80" i="6"/>
  <c r="Q80" i="6"/>
  <c r="R80" i="6"/>
  <c r="O81" i="6"/>
  <c r="Q81" i="6"/>
  <c r="R81" i="6"/>
  <c r="O82" i="6"/>
  <c r="Q82" i="6"/>
  <c r="R82" i="6"/>
  <c r="O83" i="6"/>
  <c r="Q83" i="6"/>
  <c r="R83" i="6"/>
  <c r="O84" i="6"/>
  <c r="Q84" i="6"/>
  <c r="R84" i="6"/>
  <c r="O85" i="6"/>
  <c r="Q85" i="6"/>
  <c r="R85" i="6"/>
  <c r="O86" i="6"/>
  <c r="Q86" i="6"/>
  <c r="R86" i="6"/>
  <c r="O87" i="6"/>
  <c r="Q87" i="6"/>
  <c r="R87" i="6"/>
  <c r="O88" i="6"/>
  <c r="Q88" i="6"/>
  <c r="R88" i="6"/>
  <c r="O89" i="6"/>
  <c r="Q89" i="6"/>
  <c r="R89" i="6"/>
  <c r="O90" i="6"/>
  <c r="Q90" i="6"/>
  <c r="O91" i="6"/>
  <c r="Q91" i="6"/>
  <c r="R91" i="6"/>
  <c r="O92" i="6"/>
  <c r="Q92" i="6"/>
  <c r="R92" i="6"/>
  <c r="O93" i="6"/>
  <c r="Q93" i="6"/>
  <c r="R93" i="6"/>
  <c r="O94" i="6"/>
  <c r="Q94" i="6"/>
  <c r="R94" i="6"/>
  <c r="F34" i="5" l="1"/>
  <c r="F33" i="5"/>
  <c r="F32" i="5"/>
</calcChain>
</file>

<file path=xl/sharedStrings.xml><?xml version="1.0" encoding="utf-8"?>
<sst xmlns="http://schemas.openxmlformats.org/spreadsheetml/2006/main" count="352" uniqueCount="294">
  <si>
    <t>от</t>
  </si>
  <si>
    <t>Наименование изделия:</t>
  </si>
  <si>
    <t>SMCJ40A</t>
  </si>
  <si>
    <t>Производитель:</t>
  </si>
  <si>
    <t>Кол-во:</t>
  </si>
  <si>
    <t>Кол-во в катушек:</t>
  </si>
  <si>
    <t>Взято на испытание:</t>
  </si>
  <si>
    <t>Характеристики:</t>
  </si>
  <si>
    <t>• Длительность импульса 1 мкс.</t>
  </si>
  <si>
    <t>Предмет проверки:</t>
  </si>
  <si>
    <t>Применяемая аппаратура:</t>
  </si>
  <si>
    <t>Зав. №</t>
  </si>
  <si>
    <t>Условия проведения измерений:</t>
  </si>
  <si>
    <t>Температура:</t>
  </si>
  <si>
    <t xml:space="preserve">⁰С </t>
  </si>
  <si>
    <t>Давление:</t>
  </si>
  <si>
    <t>мм. Рт. Ст.</t>
  </si>
  <si>
    <t>Влажность:</t>
  </si>
  <si>
    <t>%</t>
  </si>
  <si>
    <t>Программа испытаний:</t>
  </si>
  <si>
    <t>Результаты испытаний:</t>
  </si>
  <si>
    <t>Таблица №1.</t>
  </si>
  <si>
    <t>№ катушки</t>
  </si>
  <si>
    <t>№    образца</t>
  </si>
  <si>
    <t>напряжение   Vc, В</t>
  </si>
  <si>
    <r>
      <t>Ток I</t>
    </r>
    <r>
      <rPr>
        <vertAlign val="subscript"/>
        <sz val="9"/>
        <rFont val="Calibri"/>
        <family val="2"/>
        <scheme val="minor"/>
      </rPr>
      <t>PP</t>
    </r>
    <r>
      <rPr>
        <sz val="9"/>
        <rFont val="Calibri"/>
        <family val="2"/>
        <scheme val="minor"/>
      </rPr>
      <t>, A</t>
    </r>
  </si>
  <si>
    <r>
      <t>Мощность P</t>
    </r>
    <r>
      <rPr>
        <vertAlign val="subscript"/>
        <sz val="9"/>
        <rFont val="Calibri"/>
        <family val="2"/>
        <scheme val="minor"/>
      </rPr>
      <t>PPM</t>
    </r>
    <r>
      <rPr>
        <sz val="9"/>
        <rFont val="Calibri"/>
        <family val="2"/>
        <scheme val="minor"/>
      </rPr>
      <t>, Вт</t>
    </r>
  </si>
  <si>
    <t>Вывод:</t>
  </si>
  <si>
    <t>Испытанные образцы не  выдержали импульс мощностью 1500 Вт.</t>
  </si>
  <si>
    <t>Испытания провел:</t>
  </si>
  <si>
    <t xml:space="preserve">         Бакиев Д. Ф.      </t>
  </si>
  <si>
    <t>Подпись</t>
  </si>
  <si>
    <t>фамилия</t>
  </si>
  <si>
    <r>
      <t>MAXIMUM REVERSE LEAKAGE AT V</t>
    </r>
    <r>
      <rPr>
        <b/>
        <vertAlign val="subscript"/>
        <sz val="11"/>
        <color theme="1"/>
        <rFont val="Calibri"/>
        <family val="2"/>
        <charset val="204"/>
        <scheme val="minor"/>
      </rPr>
      <t>WM</t>
    </r>
    <r>
      <rPr>
        <b/>
        <sz val="11"/>
        <color theme="1"/>
        <rFont val="Calibri"/>
        <family val="2"/>
        <charset val="204"/>
        <scheme val="minor"/>
      </rPr>
      <t xml:space="preserve"> ID (μA)</t>
    </r>
    <r>
      <rPr>
        <b/>
        <vertAlign val="superscript"/>
        <sz val="11"/>
        <color theme="1"/>
        <rFont val="Calibri"/>
        <family val="2"/>
        <charset val="204"/>
        <scheme val="minor"/>
      </rPr>
      <t xml:space="preserve"> (3)</t>
    </r>
  </si>
  <si>
    <r>
      <t>MAXIMUM PEAK PULSE SURGE CURRENT I</t>
    </r>
    <r>
      <rPr>
        <b/>
        <vertAlign val="subscript"/>
        <sz val="11"/>
        <color theme="1"/>
        <rFont val="Calibri"/>
        <family val="2"/>
        <charset val="204"/>
        <scheme val="minor"/>
      </rPr>
      <t>PPM</t>
    </r>
    <r>
      <rPr>
        <b/>
        <sz val="11"/>
        <color theme="1"/>
        <rFont val="Calibri"/>
        <family val="2"/>
        <charset val="204"/>
        <scheme val="minor"/>
      </rPr>
      <t xml:space="preserve"> (A)</t>
    </r>
    <r>
      <rPr>
        <b/>
        <vertAlign val="superscript"/>
        <sz val="11"/>
        <color theme="1"/>
        <rFont val="Calibri"/>
        <family val="2"/>
        <charset val="204"/>
        <scheme val="minor"/>
      </rPr>
      <t xml:space="preserve"> (2)</t>
    </r>
  </si>
  <si>
    <r>
      <t>MAXIMUM CLAMPING VOLTAGE AT I</t>
    </r>
    <r>
      <rPr>
        <b/>
        <vertAlign val="subscript"/>
        <sz val="11"/>
        <color theme="1"/>
        <rFont val="Calibri"/>
        <family val="2"/>
        <charset val="204"/>
        <scheme val="minor"/>
      </rPr>
      <t>PPM</t>
    </r>
    <r>
      <rPr>
        <b/>
        <sz val="11"/>
        <color theme="1"/>
        <rFont val="Calibri"/>
        <family val="2"/>
        <charset val="204"/>
        <scheme val="minor"/>
      </rPr>
      <t xml:space="preserve"> V</t>
    </r>
    <r>
      <rPr>
        <b/>
        <vertAlign val="subscript"/>
        <sz val="11"/>
        <color theme="1"/>
        <rFont val="Calibri"/>
        <family val="2"/>
        <charset val="204"/>
        <scheme val="minor"/>
      </rPr>
      <t>C</t>
    </r>
    <r>
      <rPr>
        <b/>
        <sz val="11"/>
        <color theme="1"/>
        <rFont val="Calibri"/>
        <family val="2"/>
        <charset val="204"/>
        <scheme val="minor"/>
      </rPr>
      <t xml:space="preserve"> (V)</t>
    </r>
  </si>
  <si>
    <t>GDE</t>
  </si>
  <si>
    <t>GDG</t>
  </si>
  <si>
    <t>GDK</t>
  </si>
  <si>
    <t>BDK</t>
  </si>
  <si>
    <t>GDM</t>
  </si>
  <si>
    <t>GDP</t>
  </si>
  <si>
    <t>BDP</t>
  </si>
  <si>
    <t>GDR</t>
  </si>
  <si>
    <t>BDR</t>
  </si>
  <si>
    <t>GDT</t>
  </si>
  <si>
    <t>BDT</t>
  </si>
  <si>
    <t>GDV</t>
  </si>
  <si>
    <t>BDV</t>
  </si>
  <si>
    <t>GDX</t>
  </si>
  <si>
    <t>BDX</t>
  </si>
  <si>
    <t>GDZ</t>
  </si>
  <si>
    <t>GEE</t>
  </si>
  <si>
    <t>BEE</t>
  </si>
  <si>
    <t>GEG</t>
  </si>
  <si>
    <t>GEK</t>
  </si>
  <si>
    <t>BEK</t>
  </si>
  <si>
    <t>GEM</t>
  </si>
  <si>
    <t>BEM</t>
  </si>
  <si>
    <t>GEP</t>
  </si>
  <si>
    <t>GER</t>
  </si>
  <si>
    <t>GET</t>
  </si>
  <si>
    <t>BET</t>
  </si>
  <si>
    <t>GEV</t>
  </si>
  <si>
    <t>BEV</t>
  </si>
  <si>
    <t>GEX</t>
  </si>
  <si>
    <t>BEX</t>
  </si>
  <si>
    <t>GEZ</t>
  </si>
  <si>
    <t>BEZ</t>
  </si>
  <si>
    <t>GFE</t>
  </si>
  <si>
    <t>BFE</t>
  </si>
  <si>
    <t>GFG</t>
  </si>
  <si>
    <t>GFK</t>
  </si>
  <si>
    <t>BFK</t>
  </si>
  <si>
    <t>GFM</t>
  </si>
  <si>
    <t>BFM</t>
  </si>
  <si>
    <t>GFP</t>
  </si>
  <si>
    <t>BFP</t>
  </si>
  <si>
    <t>GFR</t>
  </si>
  <si>
    <t>BFR</t>
  </si>
  <si>
    <t>GFT</t>
  </si>
  <si>
    <t>BFT</t>
  </si>
  <si>
    <t>GFV</t>
  </si>
  <si>
    <t>GFX</t>
  </si>
  <si>
    <t>GFZ</t>
  </si>
  <si>
    <t>GGE</t>
  </si>
  <si>
    <t>GGG</t>
  </si>
  <si>
    <t>GGK</t>
  </si>
  <si>
    <t>GGM</t>
  </si>
  <si>
    <t>GGP</t>
  </si>
  <si>
    <t>GGR</t>
  </si>
  <si>
    <t>GGT</t>
  </si>
  <si>
    <t>GGV</t>
  </si>
  <si>
    <t>GGX</t>
  </si>
  <si>
    <t>GGZ</t>
  </si>
  <si>
    <t>GHE</t>
  </si>
  <si>
    <t>GHG</t>
  </si>
  <si>
    <t>GHK</t>
  </si>
  <si>
    <t>GHM</t>
  </si>
  <si>
    <t>GHP</t>
  </si>
  <si>
    <t>GHR</t>
  </si>
  <si>
    <t xml:space="preserve">KE </t>
  </si>
  <si>
    <t xml:space="preserve">KG </t>
  </si>
  <si>
    <t xml:space="preserve">KK </t>
  </si>
  <si>
    <t xml:space="preserve">AK </t>
  </si>
  <si>
    <t xml:space="preserve">KM </t>
  </si>
  <si>
    <t xml:space="preserve">KP </t>
  </si>
  <si>
    <t xml:space="preserve">AP </t>
  </si>
  <si>
    <t xml:space="preserve">KR </t>
  </si>
  <si>
    <t xml:space="preserve">AR </t>
  </si>
  <si>
    <t xml:space="preserve">KT </t>
  </si>
  <si>
    <t xml:space="preserve">AT </t>
  </si>
  <si>
    <t xml:space="preserve">KV </t>
  </si>
  <si>
    <t xml:space="preserve">AV </t>
  </si>
  <si>
    <t xml:space="preserve">KX </t>
  </si>
  <si>
    <t xml:space="preserve">AX </t>
  </si>
  <si>
    <t xml:space="preserve">KZ </t>
  </si>
  <si>
    <t xml:space="preserve">LE </t>
  </si>
  <si>
    <t xml:space="preserve">BE </t>
  </si>
  <si>
    <t xml:space="preserve">LG </t>
  </si>
  <si>
    <t xml:space="preserve">LK </t>
  </si>
  <si>
    <t xml:space="preserve">BK </t>
  </si>
  <si>
    <t xml:space="preserve">LM </t>
  </si>
  <si>
    <t xml:space="preserve">BM </t>
  </si>
  <si>
    <t xml:space="preserve">LP </t>
  </si>
  <si>
    <t xml:space="preserve">LR </t>
  </si>
  <si>
    <t xml:space="preserve">LT </t>
  </si>
  <si>
    <t xml:space="preserve">BT </t>
  </si>
  <si>
    <t xml:space="preserve">LV </t>
  </si>
  <si>
    <t xml:space="preserve">LX </t>
  </si>
  <si>
    <t xml:space="preserve">BX </t>
  </si>
  <si>
    <t xml:space="preserve">LZ </t>
  </si>
  <si>
    <t xml:space="preserve">BZ </t>
  </si>
  <si>
    <t xml:space="preserve">ME </t>
  </si>
  <si>
    <t xml:space="preserve">CE </t>
  </si>
  <si>
    <t xml:space="preserve">MG </t>
  </si>
  <si>
    <t xml:space="preserve">MK </t>
  </si>
  <si>
    <t xml:space="preserve">CK </t>
  </si>
  <si>
    <t xml:space="preserve">MM </t>
  </si>
  <si>
    <t xml:space="preserve">CM </t>
  </si>
  <si>
    <t xml:space="preserve">MP </t>
  </si>
  <si>
    <t xml:space="preserve">CP </t>
  </si>
  <si>
    <t xml:space="preserve">MR </t>
  </si>
  <si>
    <t xml:space="preserve">CR </t>
  </si>
  <si>
    <t xml:space="preserve">MT </t>
  </si>
  <si>
    <t xml:space="preserve">CT </t>
  </si>
  <si>
    <t xml:space="preserve">MV </t>
  </si>
  <si>
    <t xml:space="preserve">MX </t>
  </si>
  <si>
    <t xml:space="preserve">MZ </t>
  </si>
  <si>
    <t xml:space="preserve">NE </t>
  </si>
  <si>
    <t xml:space="preserve">NG </t>
  </si>
  <si>
    <t xml:space="preserve">NK </t>
  </si>
  <si>
    <t xml:space="preserve">NM </t>
  </si>
  <si>
    <t xml:space="preserve">NP </t>
  </si>
  <si>
    <t xml:space="preserve">NR </t>
  </si>
  <si>
    <t xml:space="preserve">NT </t>
  </si>
  <si>
    <t xml:space="preserve">NV </t>
  </si>
  <si>
    <t xml:space="preserve">NX </t>
  </si>
  <si>
    <t xml:space="preserve">NZ </t>
  </si>
  <si>
    <t xml:space="preserve">PE </t>
  </si>
  <si>
    <t xml:space="preserve">PG </t>
  </si>
  <si>
    <t xml:space="preserve">PK </t>
  </si>
  <si>
    <t xml:space="preserve">PM </t>
  </si>
  <si>
    <t xml:space="preserve">PP </t>
  </si>
  <si>
    <t xml:space="preserve">PR </t>
  </si>
  <si>
    <t xml:space="preserve">SMBJ188A </t>
  </si>
  <si>
    <t xml:space="preserve">PS </t>
  </si>
  <si>
    <t>SMCJ5.0A</t>
  </si>
  <si>
    <t>SMCJ10A</t>
  </si>
  <si>
    <t>SMCJ11A</t>
  </si>
  <si>
    <t>SMCJ12A</t>
  </si>
  <si>
    <t>SMCJ13A</t>
  </si>
  <si>
    <t>SMCJ14A</t>
  </si>
  <si>
    <t>SMCJ15A</t>
  </si>
  <si>
    <t>SMCJ16A</t>
  </si>
  <si>
    <t>SMCJ17A</t>
  </si>
  <si>
    <t>SMCJ18A</t>
  </si>
  <si>
    <t>SMCJ20A</t>
  </si>
  <si>
    <t>SMCJ22A</t>
  </si>
  <si>
    <t>SMCJ24A</t>
  </si>
  <si>
    <t>SMCJ26A</t>
  </si>
  <si>
    <t>SMCJ28A</t>
  </si>
  <si>
    <t>SMCJ30A</t>
  </si>
  <si>
    <t>SMCJ33A</t>
  </si>
  <si>
    <t>SMCJ36A</t>
  </si>
  <si>
    <t>SMCJ43A</t>
  </si>
  <si>
    <t>SMCJ45A</t>
  </si>
  <si>
    <t>SMCJ48A</t>
  </si>
  <si>
    <t>SMCJ51A</t>
  </si>
  <si>
    <t>SMCJ54A</t>
  </si>
  <si>
    <t>SMCJ58A</t>
  </si>
  <si>
    <t>SMCJ60A</t>
  </si>
  <si>
    <t>SMCJ64A</t>
  </si>
  <si>
    <t>SMCJ70A</t>
  </si>
  <si>
    <t>SMCJ75A</t>
  </si>
  <si>
    <t>SMCJ78A</t>
  </si>
  <si>
    <t>SMCJ85A</t>
  </si>
  <si>
    <t>SMCJ90A</t>
  </si>
  <si>
    <t>SMCJ100A</t>
  </si>
  <si>
    <t>SMCJ110A</t>
  </si>
  <si>
    <t>SMCJ120A</t>
  </si>
  <si>
    <t>SMCJ130A</t>
  </si>
  <si>
    <t>SMCJ150A</t>
  </si>
  <si>
    <t>SMCJ160A</t>
  </si>
  <si>
    <t>SMCJ170A</t>
  </si>
  <si>
    <t xml:space="preserve">SMBJ6.0A </t>
  </si>
  <si>
    <t xml:space="preserve">SMBJ6.5A </t>
  </si>
  <si>
    <t xml:space="preserve">SMBJ7.0A </t>
  </si>
  <si>
    <t xml:space="preserve">SMBJ7.5A </t>
  </si>
  <si>
    <t xml:space="preserve">SMBJ8.0A </t>
  </si>
  <si>
    <t xml:space="preserve">SMBJ8.5A </t>
  </si>
  <si>
    <t xml:space="preserve">SMBJ9.0A </t>
  </si>
  <si>
    <t xml:space="preserve">SMBJ10A </t>
  </si>
  <si>
    <t xml:space="preserve">SMBJ11A </t>
  </si>
  <si>
    <t xml:space="preserve">SMBJ12A </t>
  </si>
  <si>
    <t xml:space="preserve">SMBJ13A </t>
  </si>
  <si>
    <t xml:space="preserve">SMBJ14A </t>
  </si>
  <si>
    <t xml:space="preserve">SMBJ15A </t>
  </si>
  <si>
    <t xml:space="preserve">SMBJ16A </t>
  </si>
  <si>
    <t xml:space="preserve">SMBJ17A </t>
  </si>
  <si>
    <t xml:space="preserve">SMBJ18A </t>
  </si>
  <si>
    <t xml:space="preserve">SMBJ20A </t>
  </si>
  <si>
    <t xml:space="preserve">SMBJ22A </t>
  </si>
  <si>
    <t xml:space="preserve">SMBJ24A </t>
  </si>
  <si>
    <t xml:space="preserve">SMBJ26A </t>
  </si>
  <si>
    <t xml:space="preserve">SMBJ28A </t>
  </si>
  <si>
    <t xml:space="preserve">SMBJ30A </t>
  </si>
  <si>
    <t xml:space="preserve">SMBJ33A </t>
  </si>
  <si>
    <t xml:space="preserve">SMBJ36A </t>
  </si>
  <si>
    <t xml:space="preserve">SMBJ40A </t>
  </si>
  <si>
    <t xml:space="preserve">SMBJ43A </t>
  </si>
  <si>
    <t xml:space="preserve">SMBJ45A </t>
  </si>
  <si>
    <t xml:space="preserve">SMBJ48A </t>
  </si>
  <si>
    <t xml:space="preserve">SMBJ51A </t>
  </si>
  <si>
    <t xml:space="preserve">SMBJ54A </t>
  </si>
  <si>
    <t xml:space="preserve">SMBJ58A </t>
  </si>
  <si>
    <t xml:space="preserve">SMBJ60A </t>
  </si>
  <si>
    <t xml:space="preserve">SMBJ64A </t>
  </si>
  <si>
    <t xml:space="preserve">SMBJ70A </t>
  </si>
  <si>
    <t xml:space="preserve">SMBJ75A </t>
  </si>
  <si>
    <t xml:space="preserve">SMBJ78A </t>
  </si>
  <si>
    <t xml:space="preserve">SMBJ85A </t>
  </si>
  <si>
    <t xml:space="preserve">SMBJ90A </t>
  </si>
  <si>
    <t xml:space="preserve">SMBJ100A </t>
  </si>
  <si>
    <t xml:space="preserve">SMBJ110A </t>
  </si>
  <si>
    <t xml:space="preserve">SMBJ120A </t>
  </si>
  <si>
    <t xml:space="preserve">SMBJ130A </t>
  </si>
  <si>
    <t xml:space="preserve">SMBJ150A </t>
  </si>
  <si>
    <t xml:space="preserve">SMBJ160A </t>
  </si>
  <si>
    <t xml:space="preserve">SMBJ170A </t>
  </si>
  <si>
    <t>№</t>
  </si>
  <si>
    <t xml:space="preserve">DEVICE TYPE MODIFIED “J” BEND LEAD
</t>
  </si>
  <si>
    <r>
      <t>TEST CURRENT I</t>
    </r>
    <r>
      <rPr>
        <b/>
        <vertAlign val="subscript"/>
        <sz val="11"/>
        <color theme="1"/>
        <rFont val="Calibri"/>
        <family val="2"/>
        <charset val="204"/>
        <scheme val="minor"/>
      </rPr>
      <t>T</t>
    </r>
    <r>
      <rPr>
        <b/>
        <sz val="11"/>
        <color theme="1"/>
        <rFont val="Calibri"/>
        <family val="2"/>
        <charset val="204"/>
        <scheme val="minor"/>
      </rPr>
      <t xml:space="preserve"> (mA)
</t>
    </r>
  </si>
  <si>
    <r>
      <t>STAND-OFF VOLTAGE V</t>
    </r>
    <r>
      <rPr>
        <b/>
        <vertAlign val="subscript"/>
        <sz val="11"/>
        <color theme="1"/>
        <rFont val="Calibri"/>
        <family val="2"/>
        <charset val="204"/>
        <scheme val="minor"/>
      </rPr>
      <t>WM</t>
    </r>
    <r>
      <rPr>
        <b/>
        <sz val="11"/>
        <color theme="1"/>
        <rFont val="Calibri"/>
        <family val="2"/>
        <charset val="204"/>
        <scheme val="minor"/>
      </rPr>
      <t xml:space="preserve"> (V)
</t>
    </r>
  </si>
  <si>
    <t xml:space="preserve">SMBJ5.0A </t>
  </si>
  <si>
    <t>TRIG LEV V 10</t>
  </si>
  <si>
    <t>BP V</t>
  </si>
  <si>
    <t>SMCJ6.0A</t>
  </si>
  <si>
    <t>SMCJ6.5A</t>
  </si>
  <si>
    <t>SMCJ7.0A</t>
  </si>
  <si>
    <t>SMCJ7.5A</t>
  </si>
  <si>
    <t>SMCJ8.0A</t>
  </si>
  <si>
    <t>SMCJ8.5A</t>
  </si>
  <si>
    <t>SMCJ9.0A</t>
  </si>
  <si>
    <t>SCAL 1 V
I</t>
  </si>
  <si>
    <t>SCAL 2 V
V</t>
  </si>
  <si>
    <t>DEVICE MARKING CODE
UNI        BI</t>
  </si>
  <si>
    <r>
      <t>BREAKDOWN VOLTAGE V</t>
    </r>
    <r>
      <rPr>
        <b/>
        <vertAlign val="subscript"/>
        <sz val="11"/>
        <color theme="1"/>
        <rFont val="Calibri"/>
        <family val="2"/>
        <charset val="204"/>
        <scheme val="minor"/>
      </rPr>
      <t>BR</t>
    </r>
    <r>
      <rPr>
        <b/>
        <sz val="11"/>
        <color theme="1"/>
        <rFont val="Calibri"/>
        <family val="2"/>
        <charset val="204"/>
        <scheme val="minor"/>
      </rPr>
      <t xml:space="preserve"> AT I</t>
    </r>
    <r>
      <rPr>
        <b/>
        <vertAlign val="subscript"/>
        <sz val="11"/>
        <color theme="1"/>
        <rFont val="Calibri"/>
        <family val="2"/>
        <charset val="204"/>
        <scheme val="minor"/>
      </rPr>
      <t>T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vertAlign val="superscript"/>
        <sz val="11"/>
        <color theme="1"/>
        <rFont val="Calibri"/>
        <family val="2"/>
        <charset val="204"/>
        <scheme val="minor"/>
      </rPr>
      <t xml:space="preserve">(1) </t>
    </r>
    <r>
      <rPr>
        <b/>
        <sz val="11"/>
        <color theme="1"/>
        <rFont val="Calibri"/>
        <family val="2"/>
        <charset val="204"/>
        <scheme val="minor"/>
      </rPr>
      <t>(V)
MIN.        MAX.</t>
    </r>
  </si>
  <si>
    <t>CAP * 22 uF</t>
  </si>
  <si>
    <t>OFFS 1 V
I</t>
  </si>
  <si>
    <t>OFFS 2 V
V</t>
  </si>
  <si>
    <t># pro</t>
  </si>
  <si>
    <t># dev</t>
  </si>
  <si>
    <t>S</t>
  </si>
  <si>
    <t>K</t>
  </si>
  <si>
    <t>D:\ПРОТОКОЛЫ\TVS (ЗАЩИТНЫЕ ДИОДЫ)\</t>
  </si>
  <si>
    <r>
      <t>• Пиковая рассеиваемая мощность (P</t>
    </r>
    <r>
      <rPr>
        <vertAlign val="subscript"/>
        <sz val="11"/>
        <rFont val="Calibri"/>
        <family val="2"/>
        <scheme val="minor"/>
      </rPr>
      <t>PPM</t>
    </r>
    <r>
      <rPr>
        <sz val="11"/>
        <rFont val="Calibri"/>
        <family val="2"/>
        <scheme val="minor"/>
      </rPr>
      <t>) 600 Вт.</t>
    </r>
  </si>
  <si>
    <t xml:space="preserve">1. Осциллограф RIGOL DS1102E </t>
  </si>
  <si>
    <t>DS1ET154622002</t>
  </si>
  <si>
    <r>
      <t xml:space="preserve">2. Источник пост. тока </t>
    </r>
    <r>
      <rPr>
        <b/>
        <sz val="11"/>
        <rFont val="Calibri"/>
        <family val="2"/>
        <charset val="204"/>
        <scheme val="minor"/>
      </rPr>
      <t>Б5-50</t>
    </r>
  </si>
  <si>
    <t>3. Стенд для проверки.</t>
  </si>
  <si>
    <t>2. Воздействие электрического разряда на диод с измерением максимального</t>
  </si>
  <si>
    <r>
      <t>1. Измерение напряжения (V</t>
    </r>
    <r>
      <rPr>
        <vertAlign val="subscript"/>
        <sz val="11"/>
        <rFont val="Calibri"/>
        <family val="2"/>
        <charset val="204"/>
        <scheme val="minor"/>
      </rPr>
      <t>BR</t>
    </r>
    <r>
      <rPr>
        <sz val="11"/>
        <rFont val="Calibri"/>
        <family val="2"/>
        <scheme val="minor"/>
      </rPr>
      <t xml:space="preserve">)  на диоде при токе </t>
    </r>
    <r>
      <rPr>
        <b/>
        <sz val="11"/>
        <rFont val="Calibri"/>
        <family val="2"/>
        <charset val="204"/>
        <scheme val="minor"/>
      </rPr>
      <t>I</t>
    </r>
    <r>
      <rPr>
        <b/>
        <vertAlign val="subscript"/>
        <sz val="11"/>
        <rFont val="Calibri"/>
        <family val="2"/>
        <charset val="204"/>
        <scheme val="minor"/>
      </rPr>
      <t>R</t>
    </r>
    <r>
      <rPr>
        <sz val="11"/>
        <rFont val="Calibri"/>
        <family val="2"/>
        <charset val="204"/>
        <scheme val="minor"/>
      </rPr>
      <t xml:space="preserve"> = 1 мА.</t>
    </r>
  </si>
  <si>
    <r>
      <t>3. Измерение напряжения (V</t>
    </r>
    <r>
      <rPr>
        <vertAlign val="subscript"/>
        <sz val="11"/>
        <rFont val="Calibri"/>
        <family val="2"/>
        <charset val="204"/>
        <scheme val="minor"/>
      </rPr>
      <t>BR</t>
    </r>
    <r>
      <rPr>
        <sz val="11"/>
        <rFont val="Calibri"/>
        <family val="2"/>
        <scheme val="minor"/>
      </rPr>
      <t xml:space="preserve">)  на диоде при токе </t>
    </r>
    <r>
      <rPr>
        <b/>
        <sz val="11"/>
        <rFont val="Calibri"/>
        <family val="2"/>
        <charset val="204"/>
        <scheme val="minor"/>
      </rPr>
      <t>I</t>
    </r>
    <r>
      <rPr>
        <b/>
        <vertAlign val="subscript"/>
        <sz val="11"/>
        <rFont val="Calibri"/>
        <family val="2"/>
        <charset val="204"/>
        <scheme val="minor"/>
      </rPr>
      <t>R</t>
    </r>
    <r>
      <rPr>
        <sz val="11"/>
        <rFont val="Calibri"/>
        <family val="2"/>
        <charset val="204"/>
        <scheme val="minor"/>
      </rPr>
      <t xml:space="preserve"> = 1 мА после электрического </t>
    </r>
  </si>
  <si>
    <t>разряда .</t>
  </si>
  <si>
    <r>
      <t>пикового тока I</t>
    </r>
    <r>
      <rPr>
        <vertAlign val="subscript"/>
        <sz val="11"/>
        <rFont val="Calibri"/>
        <family val="2"/>
        <charset val="204"/>
        <scheme val="minor"/>
      </rPr>
      <t>PP</t>
    </r>
    <r>
      <rPr>
        <sz val="11"/>
        <rFont val="Calibri"/>
        <family val="2"/>
        <charset val="204"/>
        <scheme val="minor"/>
      </rPr>
      <t xml:space="preserve"> и напряжения ограничения  Vc.</t>
    </r>
  </si>
  <si>
    <t>Проверка работоспособности после воздействия электрического разряда мощностью 600 Вт.</t>
  </si>
  <si>
    <r>
      <t>• Напряжение пробоя (V</t>
    </r>
    <r>
      <rPr>
        <vertAlign val="subscript"/>
        <sz val="11"/>
        <rFont val="Calibri"/>
        <family val="2"/>
        <charset val="204"/>
        <scheme val="minor"/>
      </rPr>
      <t>BR</t>
    </r>
    <r>
      <rPr>
        <sz val="11"/>
        <rFont val="Calibri"/>
        <family val="2"/>
        <charset val="204"/>
        <scheme val="minor"/>
      </rPr>
      <t>) 44,4-49,1 В при 1 мА.</t>
    </r>
  </si>
  <si>
    <r>
      <t>• Максимальные импульсный  ток(I</t>
    </r>
    <r>
      <rPr>
        <vertAlign val="subscript"/>
        <sz val="11"/>
        <rFont val="Calibri"/>
        <family val="2"/>
        <scheme val="minor"/>
      </rPr>
      <t>PP</t>
    </r>
    <r>
      <rPr>
        <sz val="11"/>
        <rFont val="Calibri"/>
        <family val="2"/>
        <scheme val="minor"/>
      </rPr>
      <t>) 23,3 А.</t>
    </r>
  </si>
  <si>
    <r>
      <t>• Максимальные импульсное напряжение(V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>) 64,5 В.</t>
    </r>
  </si>
  <si>
    <t>SMCJ40CA</t>
  </si>
  <si>
    <t xml:space="preserve"> 10 образцов</t>
  </si>
  <si>
    <t>Протокол №58</t>
  </si>
  <si>
    <t>Littel Fuse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</si>
</sst>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F800]dddd\,\ mmmm\ dd\,\ yyyy"/>
  </numFmts>
  <fonts count="2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 Cyr"/>
      <charset val="204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charset val="204"/>
      <scheme val="minor"/>
    </font>
    <font>
      <vertAlign val="subscript"/>
      <sz val="11"/>
      <name val="Calibri"/>
      <family val="2"/>
      <charset val="204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name val="Calibri"/>
      <family val="2"/>
      <charset val="204"/>
      <scheme val="minor"/>
    </font>
    <font>
      <sz val="9"/>
      <name val="Calibri"/>
      <family val="2"/>
      <scheme val="minor"/>
    </font>
    <font>
      <vertAlign val="subscript"/>
      <sz val="9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sz val="7"/>
      <name val="Calibri"/>
      <family val="2"/>
      <scheme val="minor"/>
    </font>
    <font>
      <b/>
      <vertAlign val="subscript"/>
      <sz val="11"/>
      <color theme="1"/>
      <name val="Calibri"/>
      <family val="2"/>
      <charset val="204"/>
      <scheme val="minor"/>
    </font>
    <font>
      <b/>
      <vertAlign val="superscript"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0"/>
      <name val="Arial Cyr"/>
      <charset val="204"/>
    </font>
    <font>
      <vertAlign val="subscript"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156">
    <xf numFmtId="0" fontId="0" fillId="0" borderId="0" xfId="0"/>
    <xf numFmtId="0" fontId="0" fillId="0" borderId="0" xfId="0" applyAlignment="1">
      <alignment horizontal="center" vertical="center"/>
    </xf>
    <xf numFmtId="0" fontId="7" fillId="0" borderId="0" xfId="1" applyFont="1" applyFill="1" applyAlignment="1">
      <alignment vertical="center"/>
    </xf>
    <xf numFmtId="0" fontId="8" fillId="0" borderId="0" xfId="1" applyFont="1" applyFill="1" applyAlignment="1">
      <alignment vertical="center"/>
    </xf>
    <xf numFmtId="0" fontId="8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7" fillId="0" borderId="0" xfId="1" applyFont="1" applyFill="1" applyBorder="1" applyAlignment="1">
      <alignment horizontal="right" vertical="center"/>
    </xf>
    <xf numFmtId="0" fontId="9" fillId="0" borderId="0" xfId="1" applyFont="1" applyFill="1" applyBorder="1" applyAlignment="1">
      <alignment vertical="center"/>
    </xf>
    <xf numFmtId="0" fontId="9" fillId="0" borderId="0" xfId="1" applyFont="1" applyFill="1" applyBorder="1" applyAlignment="1">
      <alignment horizontal="right" vertical="center"/>
    </xf>
    <xf numFmtId="165" fontId="9" fillId="0" borderId="0" xfId="1" applyNumberFormat="1" applyFont="1" applyFill="1" applyBorder="1" applyAlignment="1">
      <alignment horizontal="left" vertical="center"/>
    </xf>
    <xf numFmtId="0" fontId="9" fillId="0" borderId="0" xfId="1" applyFont="1" applyFill="1" applyAlignment="1">
      <alignment vertical="center"/>
    </xf>
    <xf numFmtId="0" fontId="10" fillId="0" borderId="0" xfId="1" applyFont="1" applyFill="1" applyBorder="1" applyAlignment="1">
      <alignment horizontal="right" vertical="center"/>
    </xf>
    <xf numFmtId="0" fontId="4" fillId="0" borderId="1" xfId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vertical="center"/>
    </xf>
    <xf numFmtId="0" fontId="4" fillId="0" borderId="1" xfId="1" applyFont="1" applyFill="1" applyBorder="1" applyAlignment="1">
      <alignment horizontal="left" vertical="center"/>
    </xf>
    <xf numFmtId="0" fontId="8" fillId="0" borderId="1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14" fontId="4" fillId="0" borderId="2" xfId="1" applyNumberFormat="1" applyFont="1" applyFill="1" applyBorder="1" applyAlignment="1">
      <alignment horizontal="left" vertical="center"/>
    </xf>
    <xf numFmtId="165" fontId="4" fillId="0" borderId="2" xfId="1" applyNumberFormat="1" applyFont="1" applyFill="1" applyBorder="1" applyAlignment="1">
      <alignment horizontal="left" vertical="center"/>
    </xf>
    <xf numFmtId="165" fontId="8" fillId="0" borderId="0" xfId="1" applyNumberFormat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right" vertical="center"/>
    </xf>
    <xf numFmtId="0" fontId="4" fillId="0" borderId="0" xfId="1" applyFont="1" applyFill="1" applyBorder="1" applyAlignment="1">
      <alignment vertical="center"/>
    </xf>
    <xf numFmtId="0" fontId="6" fillId="0" borderId="0" xfId="1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0" fontId="12" fillId="0" borderId="0" xfId="1" applyFont="1" applyFill="1" applyBorder="1" applyAlignment="1">
      <alignment horizontal="center" vertical="center"/>
    </xf>
    <xf numFmtId="0" fontId="12" fillId="0" borderId="0" xfId="1" applyFont="1" applyFill="1" applyBorder="1" applyAlignment="1">
      <alignment horizontal="center" vertical="center" wrapText="1"/>
    </xf>
    <xf numFmtId="0" fontId="13" fillId="0" borderId="0" xfId="1" applyFont="1" applyFill="1" applyAlignment="1">
      <alignment horizontal="right" vertical="top"/>
    </xf>
    <xf numFmtId="0" fontId="8" fillId="0" borderId="0" xfId="1" applyFont="1" applyFill="1" applyAlignment="1">
      <alignment vertical="center" wrapText="1"/>
    </xf>
    <xf numFmtId="0" fontId="13" fillId="0" borderId="0" xfId="1" applyFont="1" applyFill="1" applyAlignment="1">
      <alignment horizontal="right" vertical="center"/>
    </xf>
    <xf numFmtId="0" fontId="8" fillId="0" borderId="0" xfId="1" applyFont="1" applyFill="1" applyAlignment="1">
      <alignment horizontal="center" vertical="center" wrapText="1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vertical="center"/>
    </xf>
    <xf numFmtId="0" fontId="13" fillId="0" borderId="0" xfId="1" applyFont="1" applyFill="1" applyAlignment="1">
      <alignment vertical="center"/>
    </xf>
    <xf numFmtId="49" fontId="8" fillId="0" borderId="0" xfId="1" applyNumberFormat="1" applyFont="1" applyFill="1" applyAlignment="1">
      <alignment vertical="center"/>
    </xf>
    <xf numFmtId="0" fontId="14" fillId="0" borderId="0" xfId="1" applyFont="1" applyFill="1" applyAlignment="1">
      <alignment vertical="center"/>
    </xf>
    <xf numFmtId="0" fontId="15" fillId="0" borderId="0" xfId="1" applyFont="1" applyFill="1" applyAlignment="1">
      <alignment vertical="center"/>
    </xf>
    <xf numFmtId="0" fontId="14" fillId="0" borderId="0" xfId="1" applyNumberFormat="1" applyFont="1" applyFill="1" applyAlignment="1">
      <alignment horizontal="left" vertical="center"/>
    </xf>
    <xf numFmtId="49" fontId="14" fillId="0" borderId="0" xfId="1" applyNumberFormat="1" applyFont="1" applyFill="1" applyAlignment="1">
      <alignment horizontal="left" vertical="center"/>
    </xf>
    <xf numFmtId="0" fontId="8" fillId="0" borderId="1" xfId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horizontal="left" vertical="center"/>
    </xf>
    <xf numFmtId="0" fontId="13" fillId="0" borderId="0" xfId="1" applyFont="1" applyFill="1" applyAlignment="1">
      <alignment horizontal="left" vertical="center"/>
    </xf>
    <xf numFmtId="0" fontId="4" fillId="0" borderId="0" xfId="1" applyFont="1" applyFill="1" applyAlignment="1">
      <alignment vertical="center" wrapText="1"/>
    </xf>
    <xf numFmtId="0" fontId="10" fillId="0" borderId="0" xfId="1" applyFont="1" applyFill="1" applyAlignment="1">
      <alignment horizontal="right" vertical="center"/>
    </xf>
    <xf numFmtId="0" fontId="17" fillId="0" borderId="3" xfId="1" applyFont="1" applyFill="1" applyBorder="1" applyAlignment="1">
      <alignment horizontal="center" vertical="center" wrapText="1"/>
    </xf>
    <xf numFmtId="1" fontId="17" fillId="0" borderId="4" xfId="1" applyNumberFormat="1" applyFont="1" applyFill="1" applyBorder="1" applyAlignment="1">
      <alignment horizontal="center" vertical="center" wrapText="1"/>
    </xf>
    <xf numFmtId="2" fontId="17" fillId="0" borderId="5" xfId="1" applyNumberFormat="1" applyFont="1" applyFill="1" applyBorder="1" applyAlignment="1">
      <alignment horizontal="center" vertical="center" wrapText="1"/>
    </xf>
    <xf numFmtId="2" fontId="17" fillId="0" borderId="6" xfId="1" applyNumberFormat="1" applyFont="1" applyFill="1" applyBorder="1" applyAlignment="1">
      <alignment horizontal="center" vertical="center" wrapText="1"/>
    </xf>
    <xf numFmtId="2" fontId="17" fillId="0" borderId="7" xfId="1" applyNumberFormat="1" applyFont="1" applyFill="1" applyBorder="1" applyAlignment="1">
      <alignment horizontal="center" vertical="center" wrapText="1"/>
    </xf>
    <xf numFmtId="2" fontId="17" fillId="0" borderId="0" xfId="1" applyNumberFormat="1" applyFont="1" applyFill="1" applyBorder="1" applyAlignment="1">
      <alignment horizontal="center" vertical="center" wrapText="1"/>
    </xf>
    <xf numFmtId="2" fontId="6" fillId="0" borderId="9" xfId="1" applyNumberFormat="1" applyFont="1" applyBorder="1" applyAlignment="1">
      <alignment horizontal="center" vertical="center"/>
    </xf>
    <xf numFmtId="2" fontId="6" fillId="0" borderId="10" xfId="1" applyNumberFormat="1" applyFont="1" applyBorder="1" applyAlignment="1">
      <alignment horizontal="center" vertical="center"/>
    </xf>
    <xf numFmtId="1" fontId="6" fillId="0" borderId="10" xfId="1" applyNumberFormat="1" applyFont="1" applyBorder="1" applyAlignment="1">
      <alignment horizontal="center" vertical="center"/>
    </xf>
    <xf numFmtId="164" fontId="6" fillId="0" borderId="7" xfId="1" applyNumberFormat="1" applyFont="1" applyBorder="1" applyAlignment="1">
      <alignment horizontal="center" vertical="center"/>
    </xf>
    <xf numFmtId="164" fontId="8" fillId="0" borderId="0" xfId="1" applyNumberFormat="1" applyFont="1" applyFill="1" applyAlignment="1">
      <alignment vertical="center"/>
    </xf>
    <xf numFmtId="2" fontId="6" fillId="0" borderId="12" xfId="1" applyNumberFormat="1" applyFont="1" applyBorder="1" applyAlignment="1">
      <alignment horizontal="center" vertical="center"/>
    </xf>
    <xf numFmtId="2" fontId="6" fillId="0" borderId="13" xfId="1" applyNumberFormat="1" applyFont="1" applyBorder="1" applyAlignment="1">
      <alignment horizontal="center" vertical="center"/>
    </xf>
    <xf numFmtId="1" fontId="6" fillId="0" borderId="13" xfId="1" applyNumberFormat="1" applyFont="1" applyBorder="1" applyAlignment="1">
      <alignment horizontal="center" vertical="center"/>
    </xf>
    <xf numFmtId="2" fontId="6" fillId="0" borderId="17" xfId="1" applyNumberFormat="1" applyFont="1" applyBorder="1" applyAlignment="1">
      <alignment horizontal="center" vertical="center"/>
    </xf>
    <xf numFmtId="2" fontId="6" fillId="0" borderId="18" xfId="1" applyNumberFormat="1" applyFont="1" applyBorder="1" applyAlignment="1">
      <alignment horizontal="center" vertical="center"/>
    </xf>
    <xf numFmtId="1" fontId="6" fillId="0" borderId="18" xfId="1" applyNumberFormat="1" applyFont="1" applyBorder="1" applyAlignment="1">
      <alignment horizontal="center" vertical="center"/>
    </xf>
    <xf numFmtId="0" fontId="8" fillId="0" borderId="1" xfId="1" applyFont="1" applyFill="1" applyBorder="1" applyAlignment="1">
      <alignment vertical="center"/>
    </xf>
    <xf numFmtId="0" fontId="8" fillId="0" borderId="12" xfId="1" applyFont="1" applyFill="1" applyBorder="1" applyAlignment="1">
      <alignment horizontal="left" vertical="center"/>
    </xf>
    <xf numFmtId="0" fontId="8" fillId="0" borderId="12" xfId="1" applyFont="1" applyFill="1" applyBorder="1" applyAlignment="1">
      <alignment vertical="center"/>
    </xf>
    <xf numFmtId="0" fontId="2" fillId="0" borderId="0" xfId="1" applyFont="1" applyBorder="1" applyAlignment="1">
      <alignment vertical="center"/>
    </xf>
    <xf numFmtId="0" fontId="20" fillId="0" borderId="0" xfId="1" applyFont="1" applyFill="1" applyBorder="1" applyAlignment="1">
      <alignment horizontal="center" vertical="center"/>
    </xf>
    <xf numFmtId="0" fontId="5" fillId="0" borderId="6" xfId="1" applyNumberFormat="1" applyFont="1" applyFill="1" applyBorder="1" applyAlignment="1">
      <alignment horizontal="center" vertical="center" wrapText="1"/>
    </xf>
    <xf numFmtId="0" fontId="5" fillId="0" borderId="23" xfId="1" applyNumberFormat="1" applyFont="1" applyFill="1" applyBorder="1" applyAlignment="1">
      <alignment horizontal="center" vertical="center" wrapText="1"/>
    </xf>
    <xf numFmtId="0" fontId="5" fillId="0" borderId="28" xfId="1" applyNumberFormat="1" applyFont="1" applyFill="1" applyBorder="1" applyAlignment="1">
      <alignment horizontal="center" vertical="center" wrapText="1"/>
    </xf>
    <xf numFmtId="0" fontId="5" fillId="0" borderId="30" xfId="1" applyNumberFormat="1" applyFont="1" applyFill="1" applyBorder="1" applyAlignment="1">
      <alignment horizontal="center" vertical="center" wrapText="1"/>
    </xf>
    <xf numFmtId="0" fontId="5" fillId="0" borderId="27" xfId="1" applyNumberFormat="1" applyFont="1" applyFill="1" applyBorder="1" applyAlignment="1">
      <alignment horizontal="center" vertical="center" wrapText="1"/>
    </xf>
    <xf numFmtId="0" fontId="5" fillId="0" borderId="29" xfId="1" applyNumberFormat="1" applyFont="1" applyFill="1" applyBorder="1" applyAlignment="1">
      <alignment horizontal="center" vertical="center" wrapText="1"/>
    </xf>
    <xf numFmtId="0" fontId="2" fillId="0" borderId="0" xfId="1" applyNumberFormat="1" applyFont="1" applyFill="1" applyBorder="1" applyAlignment="1">
      <alignment horizontal="center" vertical="center" wrapText="1"/>
    </xf>
    <xf numFmtId="0" fontId="2" fillId="0" borderId="35" xfId="1" applyNumberFormat="1" applyFont="1" applyFill="1" applyBorder="1" applyAlignment="1">
      <alignment horizontal="center" vertical="center" wrapText="1"/>
    </xf>
    <xf numFmtId="0" fontId="2" fillId="0" borderId="15" xfId="1" applyNumberFormat="1" applyFont="1" applyFill="1" applyBorder="1" applyAlignment="1">
      <alignment horizontal="center" vertical="center" wrapText="1"/>
    </xf>
    <xf numFmtId="0" fontId="2" fillId="0" borderId="14" xfId="1" applyNumberFormat="1" applyFont="1" applyFill="1" applyBorder="1" applyAlignment="1">
      <alignment horizontal="center" vertical="center" wrapText="1"/>
    </xf>
    <xf numFmtId="0" fontId="2" fillId="0" borderId="10" xfId="1" applyNumberFormat="1" applyFont="1" applyFill="1" applyBorder="1" applyAlignment="1">
      <alignment horizontal="center" vertical="center" wrapText="1"/>
    </xf>
    <xf numFmtId="0" fontId="2" fillId="0" borderId="8" xfId="1" applyNumberFormat="1" applyFont="1" applyFill="1" applyBorder="1" applyAlignment="1">
      <alignment horizontal="center" vertical="center" wrapText="1"/>
    </xf>
    <xf numFmtId="0" fontId="2" fillId="0" borderId="24" xfId="1" applyNumberFormat="1" applyFont="1" applyFill="1" applyBorder="1" applyAlignment="1">
      <alignment horizontal="center" vertical="center" wrapText="1"/>
    </xf>
    <xf numFmtId="0" fontId="2" fillId="0" borderId="21" xfId="1" applyNumberFormat="1" applyFont="1" applyFill="1" applyBorder="1" applyAlignment="1">
      <alignment horizontal="center" vertical="center" wrapText="1"/>
    </xf>
    <xf numFmtId="0" fontId="2" fillId="0" borderId="31" xfId="1" applyNumberFormat="1" applyFont="1" applyFill="1" applyBorder="1" applyAlignment="1">
      <alignment horizontal="center" vertical="center" wrapText="1"/>
    </xf>
    <xf numFmtId="0" fontId="2" fillId="0" borderId="36" xfId="1" applyNumberFormat="1" applyFont="1" applyFill="1" applyBorder="1" applyAlignment="1">
      <alignment horizontal="center" vertical="center" wrapText="1"/>
    </xf>
    <xf numFmtId="0" fontId="2" fillId="0" borderId="13" xfId="1" applyNumberFormat="1" applyFont="1" applyFill="1" applyBorder="1" applyAlignment="1">
      <alignment horizontal="center" vertical="center" wrapText="1"/>
    </xf>
    <xf numFmtId="0" fontId="2" fillId="0" borderId="11" xfId="1" applyNumberFormat="1" applyFont="1" applyFill="1" applyBorder="1" applyAlignment="1">
      <alignment horizontal="center" vertical="center" wrapText="1"/>
    </xf>
    <xf numFmtId="0" fontId="2" fillId="0" borderId="25" xfId="1" applyNumberFormat="1" applyFont="1" applyFill="1" applyBorder="1" applyAlignment="1">
      <alignment horizontal="center" vertical="center" wrapText="1"/>
    </xf>
    <xf numFmtId="0" fontId="2" fillId="0" borderId="22" xfId="1" applyNumberFormat="1" applyFont="1" applyFill="1" applyBorder="1" applyAlignment="1">
      <alignment horizontal="center" vertical="center" wrapText="1"/>
    </xf>
    <xf numFmtId="0" fontId="2" fillId="0" borderId="32" xfId="1" applyNumberFormat="1" applyFont="1" applyFill="1" applyBorder="1" applyAlignment="1">
      <alignment horizontal="center" vertical="center" wrapText="1"/>
    </xf>
    <xf numFmtId="0" fontId="2" fillId="0" borderId="41" xfId="1" applyNumberFormat="1" applyFont="1" applyFill="1" applyBorder="1" applyAlignment="1">
      <alignment horizontal="center" vertical="center" wrapText="1"/>
    </xf>
    <xf numFmtId="0" fontId="2" fillId="0" borderId="43" xfId="1" applyNumberFormat="1" applyFont="1" applyFill="1" applyBorder="1" applyAlignment="1">
      <alignment horizontal="center" vertical="center" wrapText="1"/>
    </xf>
    <xf numFmtId="0" fontId="2" fillId="0" borderId="44" xfId="1" applyNumberFormat="1" applyFont="1" applyFill="1" applyBorder="1" applyAlignment="1">
      <alignment horizontal="center" vertical="center" wrapText="1"/>
    </xf>
    <xf numFmtId="0" fontId="2" fillId="0" borderId="45" xfId="1" applyNumberFormat="1" applyFont="1" applyFill="1" applyBorder="1" applyAlignment="1">
      <alignment horizontal="center" vertical="center" wrapText="1"/>
    </xf>
    <xf numFmtId="0" fontId="2" fillId="0" borderId="46" xfId="1" applyNumberFormat="1" applyFont="1" applyFill="1" applyBorder="1" applyAlignment="1">
      <alignment horizontal="center" vertical="center" wrapText="1"/>
    </xf>
    <xf numFmtId="0" fontId="2" fillId="0" borderId="47" xfId="1" applyNumberFormat="1" applyFont="1" applyFill="1" applyBorder="1" applyAlignment="1">
      <alignment horizontal="center" vertical="center" wrapText="1"/>
    </xf>
    <xf numFmtId="0" fontId="2" fillId="0" borderId="48" xfId="1" applyNumberFormat="1" applyFont="1" applyFill="1" applyBorder="1" applyAlignment="1">
      <alignment horizontal="center" vertical="center" wrapText="1"/>
    </xf>
    <xf numFmtId="0" fontId="23" fillId="0" borderId="10" xfId="0" applyNumberFormat="1" applyFont="1" applyFill="1" applyBorder="1" applyAlignment="1">
      <alignment horizontal="center" vertical="center" wrapText="1"/>
    </xf>
    <xf numFmtId="0" fontId="23" fillId="0" borderId="8" xfId="0" applyNumberFormat="1" applyFont="1" applyFill="1" applyBorder="1" applyAlignment="1">
      <alignment horizontal="center" vertical="center" wrapText="1"/>
    </xf>
    <xf numFmtId="0" fontId="23" fillId="0" borderId="50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51" xfId="0" applyNumberFormat="1" applyFont="1" applyFill="1" applyBorder="1" applyAlignment="1">
      <alignment horizontal="center" vertical="center" wrapText="1"/>
    </xf>
    <xf numFmtId="0" fontId="23" fillId="0" borderId="13" xfId="0" applyNumberFormat="1" applyFont="1" applyFill="1" applyBorder="1" applyAlignment="1">
      <alignment horizontal="center" vertical="center" wrapText="1"/>
    </xf>
    <xf numFmtId="0" fontId="23" fillId="0" borderId="11" xfId="0" applyNumberFormat="1" applyFont="1" applyFill="1" applyBorder="1" applyAlignment="1">
      <alignment horizontal="center" vertical="center" wrapText="1"/>
    </xf>
    <xf numFmtId="0" fontId="23" fillId="0" borderId="25" xfId="0" applyNumberFormat="1" applyFont="1" applyFill="1" applyBorder="1" applyAlignment="1">
      <alignment horizontal="center" vertical="center" wrapText="1"/>
    </xf>
    <xf numFmtId="0" fontId="23" fillId="0" borderId="22" xfId="0" applyNumberFormat="1" applyFont="1" applyFill="1" applyBorder="1" applyAlignment="1">
      <alignment horizontal="center" vertical="center" wrapText="1"/>
    </xf>
    <xf numFmtId="0" fontId="23" fillId="0" borderId="32" xfId="0" applyNumberFormat="1" applyFont="1" applyFill="1" applyBorder="1" applyAlignment="1">
      <alignment horizontal="center" vertical="center" wrapText="1"/>
    </xf>
    <xf numFmtId="0" fontId="23" fillId="0" borderId="18" xfId="0" applyNumberFormat="1" applyFont="1" applyFill="1" applyBorder="1" applyAlignment="1">
      <alignment horizontal="center" vertical="center" wrapText="1"/>
    </xf>
    <xf numFmtId="0" fontId="23" fillId="0" borderId="16" xfId="0" applyNumberFormat="1" applyFont="1" applyFill="1" applyBorder="1" applyAlignment="1">
      <alignment horizontal="center" vertical="center" wrapText="1"/>
    </xf>
    <xf numFmtId="0" fontId="23" fillId="0" borderId="26" xfId="0" applyNumberFormat="1" applyFont="1" applyFill="1" applyBorder="1" applyAlignment="1">
      <alignment horizontal="center" vertical="center" wrapText="1"/>
    </xf>
    <xf numFmtId="0" fontId="23" fillId="0" borderId="20" xfId="0" applyNumberFormat="1" applyFont="1" applyFill="1" applyBorder="1" applyAlignment="1">
      <alignment horizontal="center" vertical="center" wrapText="1"/>
    </xf>
    <xf numFmtId="0" fontId="23" fillId="0" borderId="33" xfId="0" applyNumberFormat="1" applyFont="1" applyFill="1" applyBorder="1" applyAlignment="1">
      <alignment horizontal="center" vertical="center" wrapText="1"/>
    </xf>
    <xf numFmtId="0" fontId="2" fillId="3" borderId="38" xfId="1" applyNumberFormat="1" applyFont="1" applyFill="1" applyBorder="1" applyAlignment="1">
      <alignment horizontal="center" vertical="center" wrapText="1"/>
    </xf>
    <xf numFmtId="0" fontId="2" fillId="3" borderId="39" xfId="1" applyNumberFormat="1" applyFont="1" applyFill="1" applyBorder="1" applyAlignment="1">
      <alignment horizontal="center" vertical="center" wrapText="1"/>
    </xf>
    <xf numFmtId="0" fontId="2" fillId="3" borderId="42" xfId="1" applyNumberFormat="1" applyFont="1" applyFill="1" applyBorder="1" applyAlignment="1">
      <alignment horizontal="center" vertical="center" wrapText="1"/>
    </xf>
    <xf numFmtId="0" fontId="23" fillId="4" borderId="49" xfId="0" applyNumberFormat="1" applyFont="1" applyFill="1" applyBorder="1" applyAlignment="1">
      <alignment horizontal="center" vertical="center" wrapText="1"/>
    </xf>
    <xf numFmtId="0" fontId="23" fillId="4" borderId="39" xfId="0" applyNumberFormat="1" applyFont="1" applyFill="1" applyBorder="1" applyAlignment="1">
      <alignment horizontal="center" vertical="center" wrapText="1"/>
    </xf>
    <xf numFmtId="0" fontId="23" fillId="4" borderId="40" xfId="0" applyNumberFormat="1" applyFont="1" applyFill="1" applyBorder="1" applyAlignment="1">
      <alignment horizontal="center" vertical="center" wrapText="1"/>
    </xf>
    <xf numFmtId="0" fontId="2" fillId="0" borderId="0" xfId="1" applyNumberFormat="1" applyFont="1" applyFill="1" applyBorder="1" applyAlignment="1">
      <alignment horizontal="center" vertical="center" wrapText="1"/>
    </xf>
    <xf numFmtId="0" fontId="2" fillId="0" borderId="0" xfId="1" applyNumberFormat="1" applyFont="1" applyFill="1" applyBorder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5" fillId="0" borderId="0" xfId="1" applyNumberFormat="1" applyFont="1" applyFill="1" applyBorder="1" applyAlignment="1">
      <alignment vertical="center" wrapText="1"/>
    </xf>
    <xf numFmtId="0" fontId="2" fillId="5" borderId="36" xfId="1" applyNumberFormat="1" applyFont="1" applyFill="1" applyBorder="1" applyAlignment="1">
      <alignment horizontal="center" vertical="center" wrapText="1"/>
    </xf>
    <xf numFmtId="0" fontId="2" fillId="5" borderId="0" xfId="1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 wrapText="1"/>
    </xf>
    <xf numFmtId="14" fontId="4" fillId="0" borderId="0" xfId="0" applyNumberFormat="1" applyFont="1" applyFill="1" applyAlignment="1">
      <alignment horizontal="center" vertical="center" wrapText="1"/>
    </xf>
    <xf numFmtId="0" fontId="1" fillId="0" borderId="0" xfId="1" applyNumberFormat="1" applyFont="1" applyFill="1" applyBorder="1" applyAlignment="1">
      <alignment horizontal="center" vertical="center" wrapText="1"/>
    </xf>
    <xf numFmtId="0" fontId="4" fillId="0" borderId="0" xfId="1" applyFont="1" applyFill="1" applyAlignment="1">
      <alignment vertical="center"/>
    </xf>
    <xf numFmtId="0" fontId="4" fillId="0" borderId="0" xfId="1" applyFont="1" applyFill="1" applyAlignment="1">
      <alignment horizontal="left" vertical="center"/>
    </xf>
    <xf numFmtId="0" fontId="19" fillId="0" borderId="0" xfId="1" applyFont="1" applyBorder="1" applyAlignment="1">
      <alignment horizontal="center" vertical="center"/>
    </xf>
    <xf numFmtId="1" fontId="6" fillId="0" borderId="0" xfId="1" applyNumberFormat="1" applyFont="1" applyBorder="1" applyAlignment="1">
      <alignment horizontal="center" vertical="center"/>
    </xf>
    <xf numFmtId="2" fontId="6" fillId="0" borderId="0" xfId="1" applyNumberFormat="1" applyFont="1" applyBorder="1" applyAlignment="1">
      <alignment horizontal="center" vertical="center"/>
    </xf>
    <xf numFmtId="164" fontId="6" fillId="0" borderId="0" xfId="1" applyNumberFormat="1" applyFont="1" applyBorder="1" applyAlignment="1">
      <alignment horizontal="center" vertical="center"/>
    </xf>
    <xf numFmtId="1" fontId="6" fillId="0" borderId="49" xfId="1" applyNumberFormat="1" applyFont="1" applyBorder="1" applyAlignment="1">
      <alignment horizontal="center" vertical="center"/>
    </xf>
    <xf numFmtId="2" fontId="6" fillId="0" borderId="49" xfId="1" applyNumberFormat="1" applyFont="1" applyBorder="1" applyAlignment="1">
      <alignment horizontal="center" vertical="center"/>
    </xf>
    <xf numFmtId="1" fontId="6" fillId="0" borderId="39" xfId="1" applyNumberFormat="1" applyFont="1" applyBorder="1" applyAlignment="1">
      <alignment horizontal="center" vertical="center"/>
    </xf>
    <xf numFmtId="2" fontId="6" fillId="0" borderId="39" xfId="1" applyNumberFormat="1" applyFont="1" applyBorder="1" applyAlignment="1">
      <alignment horizontal="center" vertical="center"/>
    </xf>
    <xf numFmtId="1" fontId="6" fillId="0" borderId="40" xfId="1" applyNumberFormat="1" applyFont="1" applyBorder="1" applyAlignment="1">
      <alignment horizontal="center" vertical="center"/>
    </xf>
    <xf numFmtId="2" fontId="6" fillId="0" borderId="40" xfId="1" applyNumberFormat="1" applyFont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2" fillId="5" borderId="37" xfId="1" applyNumberFormat="1" applyFont="1" applyFill="1" applyBorder="1" applyAlignment="1">
      <alignment horizontal="center" vertical="center" wrapText="1"/>
    </xf>
    <xf numFmtId="2" fontId="4" fillId="0" borderId="0" xfId="0" applyNumberFormat="1" applyFont="1" applyFill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20" fillId="0" borderId="2" xfId="1" applyFont="1" applyFill="1" applyBorder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165" fontId="7" fillId="0" borderId="0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left" vertical="center" wrapText="1"/>
    </xf>
    <xf numFmtId="0" fontId="19" fillId="0" borderId="5" xfId="1" applyFont="1" applyBorder="1" applyAlignment="1">
      <alignment horizontal="center" vertical="center"/>
    </xf>
    <xf numFmtId="0" fontId="19" fillId="0" borderId="52" xfId="1" applyFont="1" applyBorder="1" applyAlignment="1">
      <alignment horizontal="center" vertical="center"/>
    </xf>
    <xf numFmtId="0" fontId="19" fillId="0" borderId="53" xfId="1" applyFont="1" applyBorder="1" applyAlignment="1">
      <alignment horizontal="center" vertical="center"/>
    </xf>
    <xf numFmtId="0" fontId="5" fillId="0" borderId="27" xfId="1" applyNumberFormat="1" applyFont="1" applyFill="1" applyBorder="1" applyAlignment="1">
      <alignment horizontal="center" vertical="center" wrapText="1"/>
    </xf>
    <xf numFmtId="0" fontId="5" fillId="0" borderId="29" xfId="1" applyNumberFormat="1" applyFont="1" applyFill="1" applyBorder="1" applyAlignment="1">
      <alignment horizontal="center" vertical="center" wrapText="1"/>
    </xf>
    <xf numFmtId="0" fontId="5" fillId="0" borderId="34" xfId="1" applyNumberFormat="1" applyFont="1" applyFill="1" applyBorder="1" applyAlignment="1">
      <alignment horizontal="center" vertical="center" wrapText="1"/>
    </xf>
    <xf numFmtId="0" fontId="5" fillId="0" borderId="28" xfId="1" applyNumberFormat="1" applyFont="1" applyFill="1" applyBorder="1" applyAlignment="1">
      <alignment horizontal="center" vertical="center" wrapText="1"/>
    </xf>
    <xf numFmtId="1" fontId="2" fillId="0" borderId="0" xfId="1" applyNumberFormat="1" applyFont="1" applyFill="1" applyBorder="1" applyAlignment="1">
      <alignment horizontal="center" vertical="center" wrapText="1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V68"/>
  <sheetViews>
    <sheetView tabSelected="1" view="pageBreakPreview" topLeftCell="A28" zoomScaleNormal="110" zoomScaleSheetLayoutView="100" workbookViewId="0">
      <selection activeCell="G9" sqref="G9"/>
    </sheetView>
  </sheetViews>
  <sheetFormatPr defaultColWidth="9.140625" defaultRowHeight="15" x14ac:dyDescent="0.2"/>
  <cols>
    <col min="1" max="9" width="12.7109375" style="3" customWidth="1"/>
    <col min="10" max="10" width="10.7109375" style="3" customWidth="1"/>
    <col min="11" max="11" width="9.85546875" style="3" bestFit="1" customWidth="1"/>
    <col min="12" max="12" width="9.140625" style="3"/>
    <col min="13" max="14" width="9.140625" style="13"/>
    <col min="15" max="15" width="9.140625" style="21"/>
    <col min="16" max="22" width="9.140625" style="13"/>
    <col min="23" max="16384" width="9.140625" style="3"/>
  </cols>
  <sheetData>
    <row r="1" spans="1:22" ht="23.25" x14ac:dyDescent="0.2">
      <c r="A1" s="145" t="s">
        <v>292</v>
      </c>
      <c r="B1" s="145"/>
      <c r="C1" s="145"/>
      <c r="D1" s="145"/>
      <c r="E1" s="145"/>
      <c r="F1" s="145"/>
      <c r="G1" s="145"/>
      <c r="H1" s="145"/>
      <c r="I1" s="5" t="s">
        <v>274</v>
      </c>
      <c r="J1" s="2" t="s">
        <v>273</v>
      </c>
      <c r="K1" s="2">
        <v>58</v>
      </c>
      <c r="L1" s="2" t="s">
        <v>275</v>
      </c>
      <c r="M1" s="24" t="s">
        <v>28</v>
      </c>
      <c r="N1" s="24"/>
      <c r="S1" s="24"/>
    </row>
    <row r="2" spans="1:22" ht="23.25" x14ac:dyDescent="0.2">
      <c r="A2" s="5"/>
      <c r="B2" s="5"/>
      <c r="C2" s="6" t="s">
        <v>0</v>
      </c>
      <c r="D2" s="146">
        <v>42501</v>
      </c>
      <c r="E2" s="146"/>
      <c r="F2" s="146"/>
      <c r="H2" s="5"/>
      <c r="I2" s="5"/>
      <c r="J2" s="5"/>
      <c r="N2" s="24"/>
      <c r="S2" s="24"/>
    </row>
    <row r="3" spans="1:22" s="10" customFormat="1" ht="18.75" x14ac:dyDescent="0.2">
      <c r="A3" s="7"/>
      <c r="B3" s="7"/>
      <c r="C3" s="8"/>
      <c r="D3" s="9"/>
      <c r="E3" s="9"/>
      <c r="F3" s="9"/>
      <c r="G3" s="7"/>
      <c r="H3" s="7"/>
      <c r="J3" s="7"/>
      <c r="M3" s="7"/>
      <c r="N3" s="24"/>
      <c r="O3" s="8"/>
      <c r="P3" s="7"/>
      <c r="Q3" s="7"/>
      <c r="R3" s="7"/>
      <c r="S3" s="7"/>
      <c r="T3" s="7"/>
      <c r="U3" s="7"/>
      <c r="V3" s="7"/>
    </row>
    <row r="4" spans="1:22" x14ac:dyDescent="0.2">
      <c r="B4" s="11" t="s">
        <v>1</v>
      </c>
      <c r="C4" s="140" t="s">
        <v>290</v>
      </c>
      <c r="F4" s="11" t="s">
        <v>3</v>
      </c>
      <c r="G4" s="14" t="s">
        <v>293</v>
      </c>
      <c r="H4" s="62"/>
      <c r="J4" s="13"/>
      <c r="N4" s="24"/>
    </row>
    <row r="5" spans="1:22" x14ac:dyDescent="0.2">
      <c r="B5" s="11" t="s">
        <v>4</v>
      </c>
      <c r="C5" s="12">
        <f>3000*G5</f>
        <v>3000</v>
      </c>
      <c r="F5" s="11" t="s">
        <v>5</v>
      </c>
      <c r="G5" s="12">
        <v>1</v>
      </c>
      <c r="J5" s="13"/>
      <c r="N5" s="24"/>
    </row>
    <row r="6" spans="1:22" x14ac:dyDescent="0.2">
      <c r="B6" s="11" t="s">
        <v>6</v>
      </c>
      <c r="C6" s="14" t="s">
        <v>291</v>
      </c>
      <c r="D6" s="15"/>
      <c r="E6" s="16"/>
      <c r="F6" s="17"/>
      <c r="J6" s="13"/>
      <c r="N6" s="24"/>
    </row>
    <row r="7" spans="1:22" x14ac:dyDescent="0.2">
      <c r="B7" s="11"/>
      <c r="C7" s="18"/>
      <c r="D7" s="19"/>
      <c r="E7" s="20"/>
      <c r="F7" s="20"/>
      <c r="G7" s="13"/>
      <c r="H7" s="13"/>
      <c r="I7" s="13"/>
      <c r="J7" s="13"/>
      <c r="K7" s="13"/>
      <c r="L7" s="13"/>
      <c r="N7" s="24"/>
    </row>
    <row r="8" spans="1:22" ht="18" x14ac:dyDescent="0.2">
      <c r="B8" s="11" t="s">
        <v>7</v>
      </c>
      <c r="C8" s="22" t="s">
        <v>287</v>
      </c>
      <c r="D8" s="22"/>
      <c r="E8" s="22"/>
      <c r="F8" s="22"/>
      <c r="G8" s="22"/>
      <c r="H8" s="22"/>
      <c r="I8" s="23"/>
      <c r="J8" s="23"/>
      <c r="K8" s="23"/>
      <c r="L8" s="23"/>
      <c r="M8" s="23"/>
      <c r="N8" s="24"/>
      <c r="O8" s="23"/>
    </row>
    <row r="9" spans="1:22" ht="15.75" customHeight="1" x14ac:dyDescent="0.2">
      <c r="A9" s="13"/>
      <c r="C9" s="24" t="s">
        <v>288</v>
      </c>
      <c r="D9" s="20"/>
      <c r="E9" s="20"/>
      <c r="F9" s="20"/>
      <c r="G9" s="13"/>
      <c r="H9" s="13"/>
      <c r="J9" s="13"/>
      <c r="N9" s="24"/>
    </row>
    <row r="10" spans="1:22" ht="15.75" customHeight="1" x14ac:dyDescent="0.2">
      <c r="A10" s="13"/>
      <c r="C10" s="24" t="s">
        <v>289</v>
      </c>
      <c r="D10" s="20"/>
      <c r="E10" s="20"/>
      <c r="F10" s="20"/>
      <c r="G10" s="13"/>
      <c r="H10" s="13"/>
      <c r="J10" s="13"/>
      <c r="N10" s="24"/>
    </row>
    <row r="11" spans="1:22" ht="15.75" customHeight="1" x14ac:dyDescent="0.2">
      <c r="A11" s="13"/>
      <c r="C11" s="24" t="s">
        <v>276</v>
      </c>
      <c r="D11" s="20"/>
      <c r="E11" s="20"/>
      <c r="F11" s="20"/>
      <c r="G11" s="13"/>
      <c r="H11" s="13"/>
      <c r="J11" s="13"/>
      <c r="N11" s="24"/>
    </row>
    <row r="12" spans="1:22" ht="15.75" customHeight="1" x14ac:dyDescent="0.2">
      <c r="A12" s="13"/>
      <c r="C12" s="24" t="s">
        <v>8</v>
      </c>
      <c r="D12" s="20"/>
      <c r="E12" s="20"/>
      <c r="F12" s="20"/>
      <c r="G12" s="13"/>
      <c r="H12" s="13"/>
      <c r="J12" s="13"/>
      <c r="N12" s="24"/>
    </row>
    <row r="13" spans="1:22" ht="15.75" x14ac:dyDescent="0.2">
      <c r="A13" s="25"/>
      <c r="B13" s="25"/>
      <c r="C13" s="25"/>
      <c r="D13" s="25"/>
      <c r="E13" s="25"/>
      <c r="F13" s="25"/>
      <c r="G13" s="25"/>
      <c r="H13" s="26"/>
      <c r="J13" s="26"/>
      <c r="K13" s="124"/>
      <c r="L13" s="124"/>
      <c r="M13" s="124"/>
      <c r="N13" s="24"/>
      <c r="O13" s="125"/>
    </row>
    <row r="14" spans="1:22" ht="31.5" customHeight="1" x14ac:dyDescent="0.2">
      <c r="B14" s="27" t="s">
        <v>9</v>
      </c>
      <c r="C14" s="147" t="s">
        <v>286</v>
      </c>
      <c r="D14" s="147"/>
      <c r="E14" s="147"/>
      <c r="F14" s="147"/>
      <c r="G14" s="147"/>
      <c r="H14" s="147"/>
      <c r="I14" s="28"/>
      <c r="J14" s="28"/>
      <c r="K14" s="124"/>
      <c r="L14" s="124"/>
      <c r="M14" s="124"/>
      <c r="N14" s="24"/>
      <c r="O14" s="126"/>
    </row>
    <row r="15" spans="1:22" x14ac:dyDescent="0.2">
      <c r="B15" s="29"/>
      <c r="C15" s="30"/>
      <c r="D15" s="30"/>
      <c r="E15" s="30"/>
      <c r="F15" s="30"/>
      <c r="G15" s="30"/>
      <c r="H15" s="30"/>
      <c r="I15" s="30"/>
      <c r="J15" s="28"/>
      <c r="K15" s="124"/>
      <c r="L15" s="124"/>
      <c r="M15" s="124"/>
      <c r="N15" s="24"/>
      <c r="O15" s="125"/>
    </row>
    <row r="16" spans="1:22" ht="15.75" customHeight="1" x14ac:dyDescent="0.2">
      <c r="B16" s="29" t="s">
        <v>10</v>
      </c>
      <c r="C16" s="3" t="s">
        <v>277</v>
      </c>
      <c r="F16" s="29" t="s">
        <v>11</v>
      </c>
      <c r="G16" s="31" t="s">
        <v>278</v>
      </c>
      <c r="J16" s="32"/>
      <c r="K16" s="124"/>
      <c r="L16" s="124"/>
      <c r="M16" s="124"/>
      <c r="N16" s="24"/>
      <c r="O16" s="125"/>
    </row>
    <row r="17" spans="1:15" x14ac:dyDescent="0.2">
      <c r="B17" s="33"/>
      <c r="C17" s="3" t="s">
        <v>279</v>
      </c>
      <c r="F17" s="29" t="s">
        <v>11</v>
      </c>
      <c r="G17" s="31">
        <v>51587</v>
      </c>
      <c r="J17" s="34"/>
      <c r="K17" s="124"/>
      <c r="L17" s="124"/>
      <c r="M17" s="124"/>
      <c r="N17" s="24"/>
      <c r="O17" s="125"/>
    </row>
    <row r="18" spans="1:15" ht="15.75" customHeight="1" x14ac:dyDescent="0.2">
      <c r="B18" s="33"/>
      <c r="C18" s="3" t="s">
        <v>280</v>
      </c>
      <c r="D18" s="35"/>
      <c r="E18" s="35"/>
      <c r="F18" s="35"/>
      <c r="G18" s="36" t="s">
        <v>11</v>
      </c>
      <c r="H18" s="37"/>
      <c r="J18" s="38"/>
      <c r="K18" s="124"/>
      <c r="L18" s="124"/>
      <c r="M18" s="124"/>
      <c r="N18" s="24"/>
      <c r="O18" s="125"/>
    </row>
    <row r="19" spans="1:15" ht="15.75" customHeight="1" x14ac:dyDescent="0.2">
      <c r="B19" s="33"/>
      <c r="D19" s="35"/>
      <c r="E19" s="35"/>
      <c r="F19" s="35"/>
      <c r="G19" s="36"/>
      <c r="H19" s="37"/>
      <c r="J19" s="38"/>
      <c r="K19" s="124"/>
      <c r="L19" s="124"/>
      <c r="M19" s="124"/>
      <c r="N19" s="24"/>
      <c r="O19" s="125"/>
    </row>
    <row r="20" spans="1:15" x14ac:dyDescent="0.2">
      <c r="A20" s="29"/>
      <c r="D20" s="29" t="s">
        <v>12</v>
      </c>
      <c r="F20" s="29" t="s">
        <v>13</v>
      </c>
      <c r="G20" s="39">
        <v>26</v>
      </c>
      <c r="H20" s="3" t="s">
        <v>14</v>
      </c>
      <c r="K20" s="124"/>
      <c r="L20" s="124"/>
      <c r="M20" s="124"/>
      <c r="N20" s="24"/>
      <c r="O20" s="125"/>
    </row>
    <row r="21" spans="1:15" x14ac:dyDescent="0.2">
      <c r="A21" s="29"/>
      <c r="C21" s="29"/>
      <c r="D21" s="40"/>
      <c r="F21" s="29" t="s">
        <v>15</v>
      </c>
      <c r="G21" s="39">
        <v>738</v>
      </c>
      <c r="H21" s="3" t="s">
        <v>16</v>
      </c>
      <c r="K21" s="124"/>
      <c r="L21" s="124"/>
      <c r="M21" s="124"/>
      <c r="N21" s="24"/>
      <c r="O21" s="125"/>
    </row>
    <row r="22" spans="1:15" x14ac:dyDescent="0.2">
      <c r="A22" s="29"/>
      <c r="C22" s="29"/>
      <c r="D22" s="40"/>
      <c r="F22" s="29" t="s">
        <v>17</v>
      </c>
      <c r="G22" s="39">
        <v>24</v>
      </c>
      <c r="H22" s="3" t="s">
        <v>18</v>
      </c>
      <c r="K22" s="124"/>
      <c r="L22" s="124"/>
      <c r="M22" s="124"/>
      <c r="N22" s="24"/>
      <c r="O22" s="125"/>
    </row>
    <row r="23" spans="1:15" x14ac:dyDescent="0.2">
      <c r="B23" s="33"/>
      <c r="C23" s="29"/>
      <c r="E23" s="29"/>
      <c r="F23" s="40"/>
      <c r="G23" s="33"/>
      <c r="L23" s="124"/>
      <c r="M23" s="124"/>
      <c r="N23" s="24"/>
      <c r="O23" s="125"/>
    </row>
    <row r="24" spans="1:15" ht="18" x14ac:dyDescent="0.2">
      <c r="B24" s="29" t="s">
        <v>19</v>
      </c>
      <c r="C24" s="41" t="s">
        <v>282</v>
      </c>
      <c r="D24" s="41"/>
      <c r="E24" s="41"/>
      <c r="F24" s="41"/>
      <c r="G24" s="41"/>
      <c r="H24" s="41"/>
      <c r="I24" s="41"/>
      <c r="J24" s="41"/>
      <c r="N24" s="24"/>
    </row>
    <row r="25" spans="1:15" ht="15" customHeight="1" x14ac:dyDescent="0.2">
      <c r="A25" s="41"/>
      <c r="B25" s="42"/>
      <c r="C25" s="128" t="s">
        <v>281</v>
      </c>
      <c r="D25" s="128"/>
      <c r="E25" s="128"/>
      <c r="F25" s="128"/>
      <c r="G25" s="128"/>
      <c r="H25" s="128"/>
      <c r="I25" s="128"/>
      <c r="J25" s="43"/>
      <c r="N25" s="24"/>
    </row>
    <row r="26" spans="1:15" ht="18" x14ac:dyDescent="0.2">
      <c r="A26" s="41"/>
      <c r="B26" s="42"/>
      <c r="C26" s="129" t="s">
        <v>285</v>
      </c>
      <c r="D26" s="129"/>
      <c r="E26" s="129"/>
      <c r="F26" s="129"/>
      <c r="G26" s="129"/>
      <c r="H26" s="129"/>
      <c r="I26" s="129"/>
      <c r="J26" s="43"/>
    </row>
    <row r="27" spans="1:15" ht="15" customHeight="1" x14ac:dyDescent="0.2">
      <c r="A27" s="41"/>
      <c r="B27" s="42"/>
      <c r="C27" s="3" t="s">
        <v>283</v>
      </c>
      <c r="J27" s="28"/>
    </row>
    <row r="28" spans="1:15" x14ac:dyDescent="0.2">
      <c r="B28" s="29"/>
      <c r="C28" s="3" t="s">
        <v>284</v>
      </c>
    </row>
    <row r="29" spans="1:15" x14ac:dyDescent="0.2">
      <c r="B29" s="29" t="s">
        <v>20</v>
      </c>
    </row>
    <row r="30" spans="1:15" ht="15.75" thickBot="1" x14ac:dyDescent="0.25">
      <c r="B30" s="44" t="s">
        <v>21</v>
      </c>
    </row>
    <row r="31" spans="1:15" ht="50.25" customHeight="1" thickBot="1" x14ac:dyDescent="0.25">
      <c r="B31" s="45" t="s">
        <v>22</v>
      </c>
      <c r="C31" s="46" t="s">
        <v>23</v>
      </c>
      <c r="D31" s="48" t="s">
        <v>25</v>
      </c>
      <c r="E31" s="47" t="s">
        <v>24</v>
      </c>
      <c r="F31" s="48" t="s">
        <v>26</v>
      </c>
      <c r="G31" s="48"/>
      <c r="H31" s="49"/>
      <c r="I31" s="50"/>
    </row>
    <row r="32" spans="1:15" ht="15" customHeight="1" x14ac:dyDescent="0.2">
      <c r="B32" s="148">
        <v>1</v>
      </c>
      <c r="C32" s="134">
        <v>1</v>
      </c>
      <c r="D32" s="51">
        <v>27.6</v>
      </c>
      <c r="E32" s="52">
        <v>56.8</v>
      </c>
      <c r="F32" s="53">
        <f>D32*E32</f>
        <v>1567.68</v>
      </c>
      <c r="G32" s="135"/>
      <c r="H32" s="54"/>
      <c r="I32" s="55"/>
    </row>
    <row r="33" spans="1:22" s="41" customFormat="1" ht="15" customHeight="1" x14ac:dyDescent="0.2">
      <c r="A33" s="3"/>
      <c r="B33" s="149"/>
      <c r="C33" s="136">
        <v>2</v>
      </c>
      <c r="D33" s="56">
        <v>27.6</v>
      </c>
      <c r="E33" s="57">
        <v>56.8</v>
      </c>
      <c r="F33" s="58">
        <f>D33*E33</f>
        <v>1567.68</v>
      </c>
      <c r="G33" s="137"/>
      <c r="H33" s="54"/>
      <c r="I33" s="55"/>
      <c r="J33" s="3"/>
      <c r="L33" s="3"/>
      <c r="M33" s="13"/>
      <c r="N33" s="13"/>
      <c r="O33" s="21"/>
      <c r="P33" s="24"/>
      <c r="Q33" s="24"/>
      <c r="R33" s="24"/>
      <c r="S33" s="24"/>
      <c r="T33" s="24"/>
      <c r="U33" s="24"/>
      <c r="V33" s="24"/>
    </row>
    <row r="34" spans="1:22" ht="15" customHeight="1" x14ac:dyDescent="0.2">
      <c r="B34" s="149"/>
      <c r="C34" s="136">
        <v>3</v>
      </c>
      <c r="D34" s="56">
        <v>27.2</v>
      </c>
      <c r="E34" s="57">
        <v>58.4</v>
      </c>
      <c r="F34" s="58">
        <f t="shared" ref="F34:F35" si="0">D34*E34</f>
        <v>1588.48</v>
      </c>
      <c r="G34" s="137"/>
      <c r="H34" s="54"/>
      <c r="I34" s="55"/>
    </row>
    <row r="35" spans="1:22" ht="15" customHeight="1" x14ac:dyDescent="0.2">
      <c r="B35" s="149"/>
      <c r="C35" s="136">
        <v>4</v>
      </c>
      <c r="D35" s="56">
        <v>27.6</v>
      </c>
      <c r="E35" s="57">
        <v>56.4</v>
      </c>
      <c r="F35" s="58">
        <f t="shared" si="0"/>
        <v>1556.64</v>
      </c>
      <c r="G35" s="137"/>
      <c r="H35" s="54"/>
      <c r="I35" s="55"/>
    </row>
    <row r="36" spans="1:22" ht="15" customHeight="1" x14ac:dyDescent="0.2">
      <c r="B36" s="149"/>
      <c r="C36" s="136">
        <v>5</v>
      </c>
      <c r="D36" s="56">
        <v>28.4</v>
      </c>
      <c r="E36" s="57">
        <v>57.2</v>
      </c>
      <c r="F36" s="58">
        <f t="shared" ref="F36:F40" si="1">D36*E36</f>
        <v>1624.48</v>
      </c>
      <c r="G36" s="137"/>
      <c r="H36" s="54"/>
      <c r="I36" s="55"/>
    </row>
    <row r="37" spans="1:22" ht="15" customHeight="1" x14ac:dyDescent="0.2">
      <c r="B37" s="149"/>
      <c r="C37" s="136">
        <v>6</v>
      </c>
      <c r="D37" s="56">
        <v>28.4</v>
      </c>
      <c r="E37" s="57">
        <v>56.4</v>
      </c>
      <c r="F37" s="58">
        <f t="shared" si="1"/>
        <v>1601.76</v>
      </c>
      <c r="G37" s="137"/>
      <c r="H37" s="54"/>
      <c r="I37" s="55"/>
    </row>
    <row r="38" spans="1:22" ht="15" customHeight="1" x14ac:dyDescent="0.2">
      <c r="B38" s="149"/>
      <c r="C38" s="136">
        <v>7</v>
      </c>
      <c r="D38" s="56">
        <v>28.4</v>
      </c>
      <c r="E38" s="57">
        <v>56.8</v>
      </c>
      <c r="F38" s="58">
        <f t="shared" si="1"/>
        <v>1613.12</v>
      </c>
      <c r="G38" s="137"/>
      <c r="H38" s="54"/>
      <c r="I38" s="55"/>
    </row>
    <row r="39" spans="1:22" ht="15" customHeight="1" x14ac:dyDescent="0.2">
      <c r="B39" s="149"/>
      <c r="C39" s="136">
        <v>8</v>
      </c>
      <c r="D39" s="56">
        <v>28.4</v>
      </c>
      <c r="E39" s="57">
        <v>56.8</v>
      </c>
      <c r="F39" s="58">
        <f t="shared" si="1"/>
        <v>1613.12</v>
      </c>
      <c r="G39" s="137"/>
      <c r="H39" s="54"/>
      <c r="I39" s="55"/>
    </row>
    <row r="40" spans="1:22" ht="15" customHeight="1" x14ac:dyDescent="0.2">
      <c r="B40" s="149"/>
      <c r="C40" s="136">
        <v>9</v>
      </c>
      <c r="D40" s="56">
        <v>28</v>
      </c>
      <c r="E40" s="57">
        <v>58.4</v>
      </c>
      <c r="F40" s="58">
        <f t="shared" si="1"/>
        <v>1635.2</v>
      </c>
      <c r="G40" s="137"/>
      <c r="H40" s="54"/>
      <c r="I40" s="55"/>
    </row>
    <row r="41" spans="1:22" ht="15" customHeight="1" thickBot="1" x14ac:dyDescent="0.25">
      <c r="B41" s="150"/>
      <c r="C41" s="138">
        <v>10</v>
      </c>
      <c r="D41" s="59">
        <v>28</v>
      </c>
      <c r="E41" s="60">
        <v>57.6</v>
      </c>
      <c r="F41" s="61">
        <f t="shared" ref="F41" si="2">D41*E41</f>
        <v>1612.8</v>
      </c>
      <c r="G41" s="139"/>
      <c r="H41" s="54"/>
      <c r="I41" s="55"/>
    </row>
    <row r="42" spans="1:22" ht="15" customHeight="1" x14ac:dyDescent="0.2">
      <c r="B42" s="130"/>
      <c r="C42" s="131"/>
      <c r="D42" s="132"/>
      <c r="E42" s="132"/>
      <c r="F42" s="131"/>
      <c r="G42" s="132"/>
      <c r="H42" s="133"/>
      <c r="I42" s="55"/>
    </row>
    <row r="43" spans="1:22" ht="15" customHeight="1" x14ac:dyDescent="0.2">
      <c r="B43" s="130"/>
      <c r="C43" s="131"/>
      <c r="D43" s="132"/>
      <c r="E43" s="132"/>
      <c r="F43" s="131"/>
      <c r="G43" s="132"/>
      <c r="H43" s="133"/>
      <c r="I43" s="55"/>
    </row>
    <row r="44" spans="1:22" ht="15" customHeight="1" x14ac:dyDescent="0.2">
      <c r="A44" s="44" t="s">
        <v>27</v>
      </c>
      <c r="B44" s="15"/>
      <c r="C44" s="15"/>
      <c r="D44" s="62"/>
      <c r="E44" s="15"/>
      <c r="F44" s="15"/>
      <c r="G44" s="15"/>
      <c r="H44" s="15"/>
    </row>
    <row r="45" spans="1:22" ht="15" customHeight="1" x14ac:dyDescent="0.2">
      <c r="A45" s="4"/>
      <c r="B45" s="63"/>
      <c r="C45" s="63"/>
      <c r="D45" s="64"/>
      <c r="E45" s="63"/>
      <c r="F45" s="63"/>
      <c r="G45" s="63"/>
      <c r="H45" s="63"/>
    </row>
    <row r="46" spans="1:22" ht="15" customHeight="1" x14ac:dyDescent="0.2">
      <c r="A46" s="4"/>
      <c r="B46" s="65"/>
      <c r="C46" s="24"/>
      <c r="D46" s="13"/>
      <c r="E46" s="24"/>
      <c r="F46" s="24"/>
      <c r="G46" s="24"/>
      <c r="H46" s="24"/>
    </row>
    <row r="47" spans="1:22" ht="15" customHeight="1" x14ac:dyDescent="0.2">
      <c r="B47" s="4"/>
      <c r="G47" s="4"/>
    </row>
    <row r="48" spans="1:22" ht="15" customHeight="1" x14ac:dyDescent="0.2">
      <c r="B48" s="4"/>
      <c r="D48" s="29" t="s">
        <v>29</v>
      </c>
      <c r="E48" s="143" t="s">
        <v>30</v>
      </c>
      <c r="F48" s="143"/>
      <c r="G48" s="29" t="s">
        <v>31</v>
      </c>
      <c r="H48" s="62"/>
    </row>
    <row r="49" spans="2:8" ht="15" customHeight="1" x14ac:dyDescent="0.2">
      <c r="B49" s="4"/>
      <c r="E49" s="144" t="s">
        <v>32</v>
      </c>
      <c r="F49" s="144"/>
      <c r="H49" s="66"/>
    </row>
    <row r="50" spans="2:8" ht="15" customHeight="1" x14ac:dyDescent="0.2"/>
    <row r="51" spans="2:8" ht="15" customHeight="1" x14ac:dyDescent="0.2">
      <c r="H51" s="13"/>
    </row>
    <row r="52" spans="2:8" ht="15" customHeight="1" x14ac:dyDescent="0.2"/>
    <row r="53" spans="2:8" ht="15" customHeight="1" x14ac:dyDescent="0.2"/>
    <row r="54" spans="2:8" ht="15" customHeight="1" x14ac:dyDescent="0.2"/>
    <row r="55" spans="2:8" ht="15" customHeight="1" x14ac:dyDescent="0.2"/>
    <row r="56" spans="2:8" ht="15" customHeight="1" x14ac:dyDescent="0.2"/>
    <row r="57" spans="2:8" ht="15" customHeight="1" x14ac:dyDescent="0.2"/>
    <row r="58" spans="2:8" ht="15" customHeight="1" x14ac:dyDescent="0.2"/>
    <row r="59" spans="2:8" ht="15" customHeight="1" x14ac:dyDescent="0.2"/>
    <row r="60" spans="2:8" ht="15" customHeight="1" x14ac:dyDescent="0.2"/>
    <row r="61" spans="2:8" ht="15" customHeight="1" x14ac:dyDescent="0.2"/>
    <row r="62" spans="2:8" ht="15" customHeight="1" x14ac:dyDescent="0.2"/>
    <row r="63" spans="2:8" ht="15" customHeight="1" x14ac:dyDescent="0.2"/>
    <row r="64" spans="2:8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</sheetData>
  <mergeCells count="6">
    <mergeCell ref="E48:F48"/>
    <mergeCell ref="E49:F49"/>
    <mergeCell ref="A1:H1"/>
    <mergeCell ref="D2:F2"/>
    <mergeCell ref="C14:H14"/>
    <mergeCell ref="B32:B41"/>
  </mergeCells>
  <pageMargins left="0.25" right="0.25" top="0.75" bottom="0.75" header="0.3" footer="0.3"/>
  <pageSetup paperSize="9" scale="99" fitToHeight="0" orientation="portrait" blackAndWhite="1" r:id="rId1"/>
  <headerFooter differentFirst="1">
    <oddHeader>&amp;LТаблица №1 продолжение.</oddHeader>
    <oddFooter>&amp;CСтраница &amp;P из &amp;N&amp;R&amp;F</oddFooter>
    <firstHeader xml:space="preserve">&amp;LОТК
Входной контроль
</firstHeader>
    <firstFooter>&amp;CСтраница &amp;P из &amp;N&amp;R&amp;F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8"/>
  <sheetViews>
    <sheetView zoomScaleNormal="100" workbookViewId="0"/>
  </sheetViews>
  <sheetFormatPr defaultColWidth="9.28515625" defaultRowHeight="15" x14ac:dyDescent="0.2"/>
  <cols>
    <col min="1" max="16384" width="9.28515625" style="142"/>
  </cols>
  <sheetData>
    <row r="1" spans="1:3" x14ac:dyDescent="0.2">
      <c r="A1" s="142">
        <v>28</v>
      </c>
      <c r="B1" s="142">
        <v>58.8</v>
      </c>
      <c r="C1" s="142">
        <f>A1*B1</f>
        <v>1646.3999999999999</v>
      </c>
    </row>
    <row r="2" spans="1:3" x14ac:dyDescent="0.2">
      <c r="A2" s="142">
        <v>28</v>
      </c>
      <c r="B2" s="142">
        <v>58</v>
      </c>
      <c r="C2" s="142">
        <f t="shared" ref="C2:C28" si="0">A2*B2</f>
        <v>1624</v>
      </c>
    </row>
    <row r="3" spans="1:3" x14ac:dyDescent="0.2">
      <c r="A3" s="142">
        <v>28</v>
      </c>
      <c r="B3" s="142">
        <v>58</v>
      </c>
      <c r="C3" s="142">
        <f t="shared" si="0"/>
        <v>1624</v>
      </c>
    </row>
    <row r="4" spans="1:3" x14ac:dyDescent="0.2">
      <c r="A4" s="142">
        <v>28</v>
      </c>
      <c r="B4" s="142">
        <v>58</v>
      </c>
      <c r="C4" s="142">
        <f t="shared" si="0"/>
        <v>1624</v>
      </c>
    </row>
    <row r="5" spans="1:3" x14ac:dyDescent="0.2">
      <c r="C5" s="142">
        <f t="shared" si="0"/>
        <v>0</v>
      </c>
    </row>
    <row r="6" spans="1:3" x14ac:dyDescent="0.2">
      <c r="C6" s="142">
        <f t="shared" si="0"/>
        <v>0</v>
      </c>
    </row>
    <row r="7" spans="1:3" x14ac:dyDescent="0.2">
      <c r="C7" s="142">
        <f t="shared" si="0"/>
        <v>0</v>
      </c>
    </row>
    <row r="8" spans="1:3" x14ac:dyDescent="0.2">
      <c r="C8" s="142">
        <f t="shared" si="0"/>
        <v>0</v>
      </c>
    </row>
    <row r="9" spans="1:3" x14ac:dyDescent="0.2">
      <c r="C9" s="142">
        <f t="shared" si="0"/>
        <v>0</v>
      </c>
    </row>
    <row r="10" spans="1:3" x14ac:dyDescent="0.2">
      <c r="C10" s="142">
        <f t="shared" si="0"/>
        <v>0</v>
      </c>
    </row>
    <row r="11" spans="1:3" x14ac:dyDescent="0.2">
      <c r="C11" s="142">
        <f t="shared" si="0"/>
        <v>0</v>
      </c>
    </row>
    <row r="12" spans="1:3" x14ac:dyDescent="0.2">
      <c r="C12" s="142">
        <f t="shared" si="0"/>
        <v>0</v>
      </c>
    </row>
    <row r="13" spans="1:3" x14ac:dyDescent="0.2">
      <c r="C13" s="142">
        <f t="shared" si="0"/>
        <v>0</v>
      </c>
    </row>
    <row r="14" spans="1:3" x14ac:dyDescent="0.2">
      <c r="C14" s="142">
        <f t="shared" si="0"/>
        <v>0</v>
      </c>
    </row>
    <row r="15" spans="1:3" x14ac:dyDescent="0.2">
      <c r="C15" s="142">
        <f t="shared" si="0"/>
        <v>0</v>
      </c>
    </row>
    <row r="16" spans="1:3" x14ac:dyDescent="0.2">
      <c r="C16" s="142">
        <f t="shared" si="0"/>
        <v>0</v>
      </c>
    </row>
    <row r="17" spans="3:3" x14ac:dyDescent="0.2">
      <c r="C17" s="142">
        <f t="shared" si="0"/>
        <v>0</v>
      </c>
    </row>
    <row r="18" spans="3:3" x14ac:dyDescent="0.2">
      <c r="C18" s="142">
        <f t="shared" si="0"/>
        <v>0</v>
      </c>
    </row>
    <row r="19" spans="3:3" x14ac:dyDescent="0.2">
      <c r="C19" s="142">
        <f t="shared" si="0"/>
        <v>0</v>
      </c>
    </row>
    <row r="20" spans="3:3" x14ac:dyDescent="0.2">
      <c r="C20" s="142">
        <f t="shared" si="0"/>
        <v>0</v>
      </c>
    </row>
    <row r="21" spans="3:3" x14ac:dyDescent="0.2">
      <c r="C21" s="142">
        <f t="shared" si="0"/>
        <v>0</v>
      </c>
    </row>
    <row r="22" spans="3:3" x14ac:dyDescent="0.2">
      <c r="C22" s="142">
        <f t="shared" si="0"/>
        <v>0</v>
      </c>
    </row>
    <row r="23" spans="3:3" x14ac:dyDescent="0.2">
      <c r="C23" s="142">
        <f t="shared" si="0"/>
        <v>0</v>
      </c>
    </row>
    <row r="24" spans="3:3" x14ac:dyDescent="0.2">
      <c r="C24" s="142">
        <f t="shared" si="0"/>
        <v>0</v>
      </c>
    </row>
    <row r="25" spans="3:3" x14ac:dyDescent="0.2">
      <c r="C25" s="142">
        <f t="shared" si="0"/>
        <v>0</v>
      </c>
    </row>
    <row r="26" spans="3:3" x14ac:dyDescent="0.2">
      <c r="C26" s="142">
        <f t="shared" si="0"/>
        <v>0</v>
      </c>
    </row>
    <row r="27" spans="3:3" x14ac:dyDescent="0.2">
      <c r="C27" s="142">
        <f t="shared" si="0"/>
        <v>0</v>
      </c>
    </row>
    <row r="28" spans="3:3" x14ac:dyDescent="0.2">
      <c r="C28" s="142">
        <f t="shared" si="0"/>
        <v>0</v>
      </c>
    </row>
  </sheetData>
  <dataConsolidate/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W106"/>
  <sheetViews>
    <sheetView workbookViewId="0">
      <pane ySplit="1" topLeftCell="A101" activePane="bottomLeft" state="frozen"/>
      <selection pane="bottomLeft" activeCell="F119" sqref="F119"/>
    </sheetView>
  </sheetViews>
  <sheetFormatPr defaultRowHeight="15" x14ac:dyDescent="0.2"/>
  <cols>
    <col min="1" max="1" width="9.140625" style="73"/>
    <col min="2" max="2" width="13.7109375" style="73" bestFit="1" customWidth="1"/>
    <col min="3" max="4" width="5.28515625" style="73" bestFit="1" customWidth="1"/>
    <col min="5" max="6" width="8.28515625" style="73" customWidth="1"/>
    <col min="7" max="7" width="11" style="73" bestFit="1" customWidth="1"/>
    <col min="8" max="8" width="11.140625" style="73" bestFit="1" customWidth="1"/>
    <col min="9" max="9" width="11.7109375" style="73" bestFit="1" customWidth="1"/>
    <col min="10" max="10" width="13.140625" style="73" bestFit="1" customWidth="1"/>
    <col min="11" max="11" width="15.85546875" style="73" bestFit="1" customWidth="1"/>
    <col min="12" max="12" width="15.85546875" style="116" customWidth="1"/>
    <col min="13" max="13" width="5" style="116" bestFit="1" customWidth="1"/>
    <col min="14" max="17" width="7.5703125" style="73" bestFit="1" customWidth="1"/>
    <col min="18" max="18" width="9" style="73" bestFit="1" customWidth="1"/>
    <col min="19" max="19" width="4.85546875" style="73" bestFit="1" customWidth="1"/>
    <col min="20" max="20" width="4" style="73" bestFit="1" customWidth="1"/>
    <col min="21" max="16384" width="9.140625" style="73"/>
  </cols>
  <sheetData>
    <row r="1" spans="1:101" ht="81.75" thickBot="1" x14ac:dyDescent="0.25">
      <c r="A1" s="67" t="s">
        <v>250</v>
      </c>
      <c r="B1" s="68" t="s">
        <v>251</v>
      </c>
      <c r="C1" s="151" t="s">
        <v>266</v>
      </c>
      <c r="D1" s="152"/>
      <c r="E1" s="153" t="s">
        <v>267</v>
      </c>
      <c r="F1" s="154"/>
      <c r="G1" s="69" t="s">
        <v>252</v>
      </c>
      <c r="H1" s="69" t="s">
        <v>253</v>
      </c>
      <c r="I1" s="70" t="s">
        <v>33</v>
      </c>
      <c r="J1" s="71" t="s">
        <v>34</v>
      </c>
      <c r="K1" s="72" t="s">
        <v>35</v>
      </c>
      <c r="L1" s="118"/>
      <c r="M1" s="118" t="s">
        <v>256</v>
      </c>
      <c r="N1" s="119" t="s">
        <v>264</v>
      </c>
      <c r="O1" s="119" t="s">
        <v>269</v>
      </c>
      <c r="P1" s="119" t="s">
        <v>265</v>
      </c>
      <c r="Q1" s="119" t="s">
        <v>270</v>
      </c>
      <c r="R1" s="119" t="s">
        <v>255</v>
      </c>
      <c r="S1" s="119" t="s">
        <v>268</v>
      </c>
      <c r="T1" s="116"/>
      <c r="U1" s="116"/>
      <c r="V1" s="116"/>
      <c r="W1" s="116"/>
      <c r="X1" s="116"/>
    </row>
    <row r="2" spans="1:101" x14ac:dyDescent="0.2">
      <c r="A2" s="74">
        <v>1</v>
      </c>
      <c r="B2" s="110" t="s">
        <v>167</v>
      </c>
      <c r="C2" s="75" t="s">
        <v>36</v>
      </c>
      <c r="D2" s="76" t="s">
        <v>36</v>
      </c>
      <c r="E2" s="77">
        <v>6.4</v>
      </c>
      <c r="F2" s="78">
        <v>7.07</v>
      </c>
      <c r="G2" s="79">
        <v>10</v>
      </c>
      <c r="H2" s="80">
        <v>5</v>
      </c>
      <c r="I2" s="81">
        <v>800</v>
      </c>
      <c r="J2" s="75">
        <v>163</v>
      </c>
      <c r="K2" s="76">
        <v>9.1999999999999993</v>
      </c>
      <c r="L2" s="155">
        <f>J2*K2</f>
        <v>1499.6</v>
      </c>
      <c r="M2" s="116">
        <v>1</v>
      </c>
      <c r="N2" s="1">
        <v>1</v>
      </c>
      <c r="O2" s="1">
        <f t="shared" ref="O2:O9" si="0">N2*-3</f>
        <v>-3</v>
      </c>
      <c r="P2" s="1">
        <v>1</v>
      </c>
      <c r="Q2" s="1">
        <f t="shared" ref="Q2:Q9" si="1">P2*-3</f>
        <v>-3</v>
      </c>
      <c r="R2" s="1">
        <f t="shared" ref="R2:R9" si="2">N2</f>
        <v>1</v>
      </c>
      <c r="S2" s="1">
        <v>1</v>
      </c>
      <c r="T2" s="116"/>
      <c r="U2" s="116"/>
      <c r="V2" s="116"/>
      <c r="W2" s="116"/>
      <c r="X2" s="116"/>
      <c r="CV2" s="127" t="s">
        <v>272</v>
      </c>
      <c r="CW2" s="73">
        <v>2</v>
      </c>
    </row>
    <row r="3" spans="1:101" x14ac:dyDescent="0.2">
      <c r="A3" s="82">
        <v>2</v>
      </c>
      <c r="B3" s="111" t="s">
        <v>257</v>
      </c>
      <c r="C3" s="83" t="s">
        <v>37</v>
      </c>
      <c r="D3" s="84" t="s">
        <v>37</v>
      </c>
      <c r="E3" s="83">
        <v>6.67</v>
      </c>
      <c r="F3" s="84">
        <v>7.37</v>
      </c>
      <c r="G3" s="85">
        <v>10</v>
      </c>
      <c r="H3" s="86">
        <v>6</v>
      </c>
      <c r="I3" s="87">
        <v>800</v>
      </c>
      <c r="J3" s="83">
        <v>145.6</v>
      </c>
      <c r="K3" s="84">
        <v>10.3</v>
      </c>
      <c r="L3" s="155">
        <f t="shared" ref="L3:L66" si="3">J3*K3</f>
        <v>1499.68</v>
      </c>
      <c r="M3" s="116">
        <v>1</v>
      </c>
      <c r="N3" s="1">
        <v>1</v>
      </c>
      <c r="O3" s="1">
        <f t="shared" si="0"/>
        <v>-3</v>
      </c>
      <c r="P3" s="1">
        <v>1</v>
      </c>
      <c r="Q3" s="1">
        <f t="shared" si="1"/>
        <v>-3</v>
      </c>
      <c r="R3" s="1">
        <f t="shared" si="2"/>
        <v>1</v>
      </c>
      <c r="S3" s="1">
        <v>1</v>
      </c>
      <c r="T3" s="116"/>
      <c r="U3" s="116"/>
      <c r="V3" s="116"/>
      <c r="W3" s="116"/>
      <c r="X3" s="116"/>
      <c r="CV3" s="127" t="s">
        <v>271</v>
      </c>
    </row>
    <row r="4" spans="1:101" x14ac:dyDescent="0.2">
      <c r="A4" s="82">
        <v>3</v>
      </c>
      <c r="B4" s="111" t="s">
        <v>258</v>
      </c>
      <c r="C4" s="83" t="s">
        <v>38</v>
      </c>
      <c r="D4" s="84" t="s">
        <v>39</v>
      </c>
      <c r="E4" s="83">
        <v>7.22</v>
      </c>
      <c r="F4" s="84">
        <v>7.98</v>
      </c>
      <c r="G4" s="85">
        <v>10</v>
      </c>
      <c r="H4" s="86">
        <v>6.5</v>
      </c>
      <c r="I4" s="87">
        <v>500</v>
      </c>
      <c r="J4" s="83">
        <v>133.9</v>
      </c>
      <c r="K4" s="84">
        <v>11.2</v>
      </c>
      <c r="L4" s="155">
        <f t="shared" si="3"/>
        <v>1499.68</v>
      </c>
      <c r="M4" s="116">
        <v>1</v>
      </c>
      <c r="N4" s="1">
        <v>1</v>
      </c>
      <c r="O4" s="1">
        <f t="shared" si="0"/>
        <v>-3</v>
      </c>
      <c r="P4" s="1">
        <v>1</v>
      </c>
      <c r="Q4" s="1">
        <f t="shared" si="1"/>
        <v>-3</v>
      </c>
      <c r="R4" s="1">
        <f t="shared" si="2"/>
        <v>1</v>
      </c>
      <c r="S4" s="1">
        <v>1</v>
      </c>
      <c r="T4" s="116"/>
      <c r="U4" s="116"/>
      <c r="V4" s="116"/>
      <c r="W4" s="116"/>
      <c r="X4" s="116"/>
    </row>
    <row r="5" spans="1:101" x14ac:dyDescent="0.2">
      <c r="A5" s="82">
        <v>4</v>
      </c>
      <c r="B5" s="111" t="s">
        <v>259</v>
      </c>
      <c r="C5" s="83" t="s">
        <v>40</v>
      </c>
      <c r="D5" s="84" t="s">
        <v>40</v>
      </c>
      <c r="E5" s="83">
        <v>7.78</v>
      </c>
      <c r="F5" s="84">
        <v>8.6</v>
      </c>
      <c r="G5" s="85">
        <v>10</v>
      </c>
      <c r="H5" s="86">
        <v>7</v>
      </c>
      <c r="I5" s="87">
        <v>200</v>
      </c>
      <c r="J5" s="83">
        <v>125</v>
      </c>
      <c r="K5" s="84">
        <v>12</v>
      </c>
      <c r="L5" s="155">
        <f t="shared" si="3"/>
        <v>1500</v>
      </c>
      <c r="M5" s="116">
        <v>1</v>
      </c>
      <c r="N5" s="1">
        <v>1</v>
      </c>
      <c r="O5" s="1">
        <f t="shared" si="0"/>
        <v>-3</v>
      </c>
      <c r="P5" s="1">
        <v>1</v>
      </c>
      <c r="Q5" s="1">
        <f t="shared" si="1"/>
        <v>-3</v>
      </c>
      <c r="R5" s="1">
        <f t="shared" si="2"/>
        <v>1</v>
      </c>
      <c r="S5" s="1">
        <v>1</v>
      </c>
      <c r="T5" s="116"/>
      <c r="U5" s="116"/>
      <c r="V5" s="116"/>
      <c r="W5" s="116"/>
      <c r="X5" s="116"/>
    </row>
    <row r="6" spans="1:101" x14ac:dyDescent="0.2">
      <c r="A6" s="82">
        <v>5</v>
      </c>
      <c r="B6" s="111" t="s">
        <v>260</v>
      </c>
      <c r="C6" s="83" t="s">
        <v>41</v>
      </c>
      <c r="D6" s="84" t="s">
        <v>42</v>
      </c>
      <c r="E6" s="83">
        <v>8.33</v>
      </c>
      <c r="F6" s="84">
        <v>9.2100000000000009</v>
      </c>
      <c r="G6" s="85">
        <v>1</v>
      </c>
      <c r="H6" s="86">
        <v>7.5</v>
      </c>
      <c r="I6" s="87">
        <v>100</v>
      </c>
      <c r="J6" s="83">
        <v>116.3</v>
      </c>
      <c r="K6" s="84">
        <v>12.9</v>
      </c>
      <c r="L6" s="155">
        <f t="shared" si="3"/>
        <v>1500.27</v>
      </c>
      <c r="M6" s="116">
        <v>1</v>
      </c>
      <c r="N6" s="1">
        <v>1</v>
      </c>
      <c r="O6" s="1">
        <f t="shared" si="0"/>
        <v>-3</v>
      </c>
      <c r="P6" s="1">
        <v>1</v>
      </c>
      <c r="Q6" s="1">
        <f t="shared" si="1"/>
        <v>-3</v>
      </c>
      <c r="R6" s="1">
        <f t="shared" si="2"/>
        <v>1</v>
      </c>
      <c r="S6" s="1">
        <v>1</v>
      </c>
      <c r="T6" s="116"/>
      <c r="U6" s="116"/>
      <c r="V6" s="116"/>
      <c r="W6" s="116"/>
      <c r="X6" s="116"/>
    </row>
    <row r="7" spans="1:101" x14ac:dyDescent="0.2">
      <c r="A7" s="82">
        <v>6</v>
      </c>
      <c r="B7" s="111" t="s">
        <v>261</v>
      </c>
      <c r="C7" s="83" t="s">
        <v>43</v>
      </c>
      <c r="D7" s="84" t="s">
        <v>44</v>
      </c>
      <c r="E7" s="83">
        <v>8.89</v>
      </c>
      <c r="F7" s="84">
        <v>9.83</v>
      </c>
      <c r="G7" s="85">
        <v>1</v>
      </c>
      <c r="H7" s="86">
        <v>8</v>
      </c>
      <c r="I7" s="87">
        <v>50</v>
      </c>
      <c r="J7" s="83">
        <v>110.3</v>
      </c>
      <c r="K7" s="84">
        <v>13.6</v>
      </c>
      <c r="L7" s="155">
        <f t="shared" si="3"/>
        <v>1500.08</v>
      </c>
      <c r="M7" s="116">
        <v>1</v>
      </c>
      <c r="N7" s="1">
        <v>1</v>
      </c>
      <c r="O7" s="1">
        <f t="shared" si="0"/>
        <v>-3</v>
      </c>
      <c r="P7" s="1">
        <v>1</v>
      </c>
      <c r="Q7" s="1">
        <f t="shared" si="1"/>
        <v>-3</v>
      </c>
      <c r="R7" s="1">
        <f t="shared" si="2"/>
        <v>1</v>
      </c>
      <c r="S7" s="1">
        <v>1</v>
      </c>
      <c r="T7" s="116"/>
      <c r="U7" s="116"/>
      <c r="V7" s="116"/>
      <c r="W7" s="116"/>
      <c r="X7" s="116"/>
    </row>
    <row r="8" spans="1:101" x14ac:dyDescent="0.2">
      <c r="A8" s="82">
        <v>7</v>
      </c>
      <c r="B8" s="111" t="s">
        <v>262</v>
      </c>
      <c r="C8" s="83" t="s">
        <v>45</v>
      </c>
      <c r="D8" s="84" t="s">
        <v>46</v>
      </c>
      <c r="E8" s="83">
        <v>9.44</v>
      </c>
      <c r="F8" s="84">
        <v>10.4</v>
      </c>
      <c r="G8" s="85">
        <v>1</v>
      </c>
      <c r="H8" s="86">
        <v>8.5</v>
      </c>
      <c r="I8" s="87">
        <v>20</v>
      </c>
      <c r="J8" s="83">
        <v>104.2</v>
      </c>
      <c r="K8" s="84">
        <v>14.4</v>
      </c>
      <c r="L8" s="155">
        <f t="shared" si="3"/>
        <v>1500.48</v>
      </c>
      <c r="M8" s="116">
        <v>1</v>
      </c>
      <c r="N8" s="1">
        <v>1</v>
      </c>
      <c r="O8" s="1">
        <f t="shared" si="0"/>
        <v>-3</v>
      </c>
      <c r="P8" s="1">
        <v>1</v>
      </c>
      <c r="Q8" s="1">
        <f t="shared" si="1"/>
        <v>-3</v>
      </c>
      <c r="R8" s="1">
        <f t="shared" si="2"/>
        <v>1</v>
      </c>
      <c r="S8" s="1">
        <v>1</v>
      </c>
      <c r="T8" s="116"/>
      <c r="U8" s="116"/>
      <c r="V8" s="116"/>
      <c r="W8" s="116"/>
      <c r="X8" s="116"/>
    </row>
    <row r="9" spans="1:101" x14ac:dyDescent="0.2">
      <c r="A9" s="82">
        <v>8</v>
      </c>
      <c r="B9" s="111" t="s">
        <v>263</v>
      </c>
      <c r="C9" s="83" t="s">
        <v>47</v>
      </c>
      <c r="D9" s="84" t="s">
        <v>48</v>
      </c>
      <c r="E9" s="83">
        <v>10</v>
      </c>
      <c r="F9" s="84">
        <v>11.1</v>
      </c>
      <c r="G9" s="85">
        <v>1</v>
      </c>
      <c r="H9" s="86">
        <v>9</v>
      </c>
      <c r="I9" s="87">
        <v>10</v>
      </c>
      <c r="J9" s="83">
        <v>97.4</v>
      </c>
      <c r="K9" s="84">
        <v>15.4</v>
      </c>
      <c r="L9" s="155">
        <f t="shared" si="3"/>
        <v>1499.96</v>
      </c>
      <c r="M9" s="116">
        <v>1</v>
      </c>
      <c r="N9" s="1">
        <v>1</v>
      </c>
      <c r="O9" s="1">
        <f t="shared" si="0"/>
        <v>-3</v>
      </c>
      <c r="P9" s="1">
        <v>1</v>
      </c>
      <c r="Q9" s="1">
        <f t="shared" si="1"/>
        <v>-3</v>
      </c>
      <c r="R9" s="1">
        <f t="shared" si="2"/>
        <v>1</v>
      </c>
      <c r="S9" s="1">
        <v>1</v>
      </c>
      <c r="T9" s="116"/>
      <c r="U9" s="116"/>
      <c r="V9" s="116"/>
      <c r="W9" s="116"/>
      <c r="X9" s="116"/>
    </row>
    <row r="10" spans="1:101" x14ac:dyDescent="0.2">
      <c r="A10" s="82">
        <v>9</v>
      </c>
      <c r="B10" s="111" t="s">
        <v>168</v>
      </c>
      <c r="C10" s="83" t="s">
        <v>49</v>
      </c>
      <c r="D10" s="84" t="s">
        <v>50</v>
      </c>
      <c r="E10" s="83">
        <v>11.1</v>
      </c>
      <c r="F10" s="84">
        <v>12.3</v>
      </c>
      <c r="G10" s="85">
        <v>1</v>
      </c>
      <c r="H10" s="86">
        <v>10</v>
      </c>
      <c r="I10" s="87">
        <v>5</v>
      </c>
      <c r="J10" s="83">
        <v>88.2</v>
      </c>
      <c r="K10" s="84">
        <v>17</v>
      </c>
      <c r="L10" s="155">
        <f t="shared" si="3"/>
        <v>1499.4</v>
      </c>
      <c r="M10" s="116">
        <v>1</v>
      </c>
      <c r="N10" s="1">
        <v>1</v>
      </c>
      <c r="O10" s="1">
        <f t="shared" ref="O10:O69" si="4">N10*-3</f>
        <v>-3</v>
      </c>
      <c r="P10" s="1">
        <v>1</v>
      </c>
      <c r="Q10" s="1">
        <f t="shared" ref="Q10:Q69" si="5">P10*-3</f>
        <v>-3</v>
      </c>
      <c r="R10" s="1">
        <f t="shared" ref="R10:R68" si="6">N10</f>
        <v>1</v>
      </c>
      <c r="S10" s="1">
        <v>1</v>
      </c>
      <c r="T10" s="116"/>
      <c r="U10" s="116"/>
      <c r="V10" s="116"/>
      <c r="W10" s="116"/>
      <c r="X10" s="116"/>
    </row>
    <row r="11" spans="1:101" x14ac:dyDescent="0.2">
      <c r="A11" s="82">
        <v>10</v>
      </c>
      <c r="B11" s="111" t="s">
        <v>169</v>
      </c>
      <c r="C11" s="83" t="s">
        <v>51</v>
      </c>
      <c r="D11" s="84" t="s">
        <v>51</v>
      </c>
      <c r="E11" s="83">
        <v>12.2</v>
      </c>
      <c r="F11" s="84">
        <v>13.5</v>
      </c>
      <c r="G11" s="85">
        <v>1</v>
      </c>
      <c r="H11" s="86">
        <v>11</v>
      </c>
      <c r="I11" s="87">
        <v>5</v>
      </c>
      <c r="J11" s="83">
        <v>82.4</v>
      </c>
      <c r="K11" s="84">
        <v>18.2</v>
      </c>
      <c r="L11" s="155">
        <f t="shared" si="3"/>
        <v>1499.68</v>
      </c>
      <c r="M11" s="116">
        <v>1</v>
      </c>
      <c r="N11" s="1">
        <v>1</v>
      </c>
      <c r="O11" s="1">
        <f t="shared" si="4"/>
        <v>-3</v>
      </c>
      <c r="P11" s="1">
        <v>1</v>
      </c>
      <c r="Q11" s="1">
        <f t="shared" si="5"/>
        <v>-3</v>
      </c>
      <c r="R11" s="1">
        <f t="shared" si="6"/>
        <v>1</v>
      </c>
      <c r="S11" s="1">
        <v>1</v>
      </c>
      <c r="T11" s="116"/>
      <c r="U11" s="116"/>
      <c r="V11" s="116"/>
      <c r="W11" s="116"/>
      <c r="X11" s="116"/>
    </row>
    <row r="12" spans="1:101" x14ac:dyDescent="0.2">
      <c r="A12" s="82">
        <v>11</v>
      </c>
      <c r="B12" s="111" t="s">
        <v>170</v>
      </c>
      <c r="C12" s="83" t="s">
        <v>52</v>
      </c>
      <c r="D12" s="84" t="s">
        <v>53</v>
      </c>
      <c r="E12" s="83">
        <v>13.3</v>
      </c>
      <c r="F12" s="84">
        <v>14.7</v>
      </c>
      <c r="G12" s="85">
        <v>1</v>
      </c>
      <c r="H12" s="86">
        <v>12</v>
      </c>
      <c r="I12" s="87">
        <v>5</v>
      </c>
      <c r="J12" s="83">
        <v>75.400000000000006</v>
      </c>
      <c r="K12" s="84">
        <v>19.899999999999999</v>
      </c>
      <c r="L12" s="155">
        <f t="shared" si="3"/>
        <v>1500.46</v>
      </c>
      <c r="M12" s="116">
        <v>1</v>
      </c>
      <c r="N12" s="1">
        <v>1</v>
      </c>
      <c r="O12" s="1">
        <f t="shared" si="4"/>
        <v>-3</v>
      </c>
      <c r="P12" s="1">
        <v>1</v>
      </c>
      <c r="Q12" s="1">
        <f t="shared" si="5"/>
        <v>-3</v>
      </c>
      <c r="R12" s="1">
        <f t="shared" si="6"/>
        <v>1</v>
      </c>
      <c r="S12" s="1">
        <v>1</v>
      </c>
      <c r="T12" s="116"/>
      <c r="U12" s="116"/>
      <c r="V12" s="116"/>
      <c r="W12" s="116"/>
      <c r="X12" s="116"/>
    </row>
    <row r="13" spans="1:101" x14ac:dyDescent="0.2">
      <c r="A13" s="82">
        <v>12</v>
      </c>
      <c r="B13" s="111" t="s">
        <v>171</v>
      </c>
      <c r="C13" s="83" t="s">
        <v>54</v>
      </c>
      <c r="D13" s="84" t="s">
        <v>54</v>
      </c>
      <c r="E13" s="83">
        <v>14.4</v>
      </c>
      <c r="F13" s="84">
        <v>15.9</v>
      </c>
      <c r="G13" s="85">
        <v>1</v>
      </c>
      <c r="H13" s="86">
        <v>13</v>
      </c>
      <c r="I13" s="87">
        <v>1</v>
      </c>
      <c r="J13" s="83">
        <v>69.8</v>
      </c>
      <c r="K13" s="84">
        <v>21.5</v>
      </c>
      <c r="L13" s="155">
        <f t="shared" si="3"/>
        <v>1500.7</v>
      </c>
      <c r="M13" s="116">
        <v>1</v>
      </c>
      <c r="N13" s="1">
        <v>1</v>
      </c>
      <c r="O13" s="1">
        <f t="shared" si="4"/>
        <v>-3</v>
      </c>
      <c r="P13" s="1">
        <v>1</v>
      </c>
      <c r="Q13" s="1">
        <f t="shared" si="5"/>
        <v>-3</v>
      </c>
      <c r="R13" s="1">
        <f t="shared" si="6"/>
        <v>1</v>
      </c>
      <c r="S13" s="1">
        <v>1</v>
      </c>
      <c r="T13" s="116"/>
      <c r="U13" s="116"/>
      <c r="V13" s="116"/>
      <c r="W13" s="116"/>
      <c r="X13" s="116"/>
    </row>
    <row r="14" spans="1:101" x14ac:dyDescent="0.2">
      <c r="A14" s="82">
        <v>13</v>
      </c>
      <c r="B14" s="111" t="s">
        <v>172</v>
      </c>
      <c r="C14" s="83" t="s">
        <v>55</v>
      </c>
      <c r="D14" s="84" t="s">
        <v>56</v>
      </c>
      <c r="E14" s="83">
        <v>15.6</v>
      </c>
      <c r="F14" s="84">
        <v>17.2</v>
      </c>
      <c r="G14" s="85">
        <v>1</v>
      </c>
      <c r="H14" s="86">
        <v>14</v>
      </c>
      <c r="I14" s="87">
        <v>1</v>
      </c>
      <c r="J14" s="83">
        <v>64.7</v>
      </c>
      <c r="K14" s="84">
        <v>23.2</v>
      </c>
      <c r="L14" s="155">
        <f t="shared" si="3"/>
        <v>1501.04</v>
      </c>
      <c r="M14" s="116">
        <v>1</v>
      </c>
      <c r="N14" s="1">
        <v>1</v>
      </c>
      <c r="O14" s="1">
        <f t="shared" si="4"/>
        <v>-3</v>
      </c>
      <c r="P14" s="1">
        <v>1</v>
      </c>
      <c r="Q14" s="1">
        <f t="shared" si="5"/>
        <v>-3</v>
      </c>
      <c r="R14" s="1">
        <f t="shared" si="6"/>
        <v>1</v>
      </c>
      <c r="S14" s="1">
        <v>1</v>
      </c>
      <c r="T14" s="116"/>
      <c r="U14" s="116"/>
      <c r="V14" s="116"/>
      <c r="W14" s="116"/>
      <c r="X14" s="116"/>
    </row>
    <row r="15" spans="1:101" x14ac:dyDescent="0.2">
      <c r="A15" s="82">
        <v>14</v>
      </c>
      <c r="B15" s="111" t="s">
        <v>173</v>
      </c>
      <c r="C15" s="83" t="s">
        <v>57</v>
      </c>
      <c r="D15" s="84" t="s">
        <v>58</v>
      </c>
      <c r="E15" s="83">
        <v>16.7</v>
      </c>
      <c r="F15" s="84">
        <v>18.5</v>
      </c>
      <c r="G15" s="85">
        <v>1</v>
      </c>
      <c r="H15" s="86">
        <v>15</v>
      </c>
      <c r="I15" s="87">
        <v>1</v>
      </c>
      <c r="J15" s="83">
        <v>61.5</v>
      </c>
      <c r="K15" s="84">
        <v>24.4</v>
      </c>
      <c r="L15" s="155">
        <f t="shared" si="3"/>
        <v>1500.6</v>
      </c>
      <c r="M15" s="116">
        <v>1</v>
      </c>
      <c r="N15" s="1">
        <v>1</v>
      </c>
      <c r="O15" s="1">
        <f t="shared" si="4"/>
        <v>-3</v>
      </c>
      <c r="P15" s="1">
        <v>1</v>
      </c>
      <c r="Q15" s="1">
        <f t="shared" si="5"/>
        <v>-3</v>
      </c>
      <c r="R15" s="1">
        <f t="shared" si="6"/>
        <v>1</v>
      </c>
      <c r="S15" s="1">
        <v>1</v>
      </c>
      <c r="T15" s="116"/>
      <c r="U15" s="116"/>
      <c r="V15" s="116"/>
      <c r="W15" s="116"/>
      <c r="X15" s="116"/>
    </row>
    <row r="16" spans="1:101" x14ac:dyDescent="0.2">
      <c r="A16" s="82">
        <v>15</v>
      </c>
      <c r="B16" s="111" t="s">
        <v>174</v>
      </c>
      <c r="C16" s="83" t="s">
        <v>59</v>
      </c>
      <c r="D16" s="84" t="s">
        <v>57</v>
      </c>
      <c r="E16" s="83">
        <v>17.8</v>
      </c>
      <c r="F16" s="84">
        <v>19.7</v>
      </c>
      <c r="G16" s="85">
        <v>1</v>
      </c>
      <c r="H16" s="86">
        <v>16</v>
      </c>
      <c r="I16" s="87">
        <v>1</v>
      </c>
      <c r="J16" s="83">
        <v>57.7</v>
      </c>
      <c r="K16" s="84">
        <v>26</v>
      </c>
      <c r="L16" s="155">
        <f t="shared" si="3"/>
        <v>1500.2</v>
      </c>
      <c r="M16" s="116">
        <v>1</v>
      </c>
      <c r="N16" s="1">
        <v>1</v>
      </c>
      <c r="O16" s="1">
        <f t="shared" si="4"/>
        <v>-3</v>
      </c>
      <c r="P16" s="1">
        <v>1</v>
      </c>
      <c r="Q16" s="1">
        <f t="shared" si="5"/>
        <v>-3</v>
      </c>
      <c r="R16" s="1">
        <f t="shared" si="6"/>
        <v>1</v>
      </c>
      <c r="S16" s="1">
        <v>1</v>
      </c>
      <c r="T16" s="116"/>
      <c r="U16" s="116"/>
      <c r="V16" s="116"/>
      <c r="W16" s="116"/>
      <c r="X16" s="116"/>
    </row>
    <row r="17" spans="1:24" x14ac:dyDescent="0.2">
      <c r="A17" s="82">
        <v>16</v>
      </c>
      <c r="B17" s="111" t="s">
        <v>175</v>
      </c>
      <c r="C17" s="83" t="s">
        <v>60</v>
      </c>
      <c r="D17" s="84" t="s">
        <v>60</v>
      </c>
      <c r="E17" s="83">
        <v>18.899999999999999</v>
      </c>
      <c r="F17" s="84">
        <v>20.9</v>
      </c>
      <c r="G17" s="85">
        <v>1</v>
      </c>
      <c r="H17" s="86">
        <v>17</v>
      </c>
      <c r="I17" s="87">
        <v>1</v>
      </c>
      <c r="J17" s="83">
        <v>54.3</v>
      </c>
      <c r="K17" s="84">
        <v>27.6</v>
      </c>
      <c r="L17" s="155">
        <f t="shared" si="3"/>
        <v>1498.68</v>
      </c>
      <c r="M17" s="116">
        <v>1</v>
      </c>
      <c r="N17" s="1">
        <v>1</v>
      </c>
      <c r="O17" s="1">
        <f t="shared" si="4"/>
        <v>-3</v>
      </c>
      <c r="P17" s="1">
        <v>1</v>
      </c>
      <c r="Q17" s="1">
        <f t="shared" si="5"/>
        <v>-3</v>
      </c>
      <c r="R17" s="1">
        <f t="shared" si="6"/>
        <v>1</v>
      </c>
      <c r="S17" s="1">
        <v>1</v>
      </c>
      <c r="T17" s="116"/>
      <c r="U17" s="117"/>
      <c r="V17" s="117"/>
      <c r="W17" s="117"/>
      <c r="X17" s="117"/>
    </row>
    <row r="18" spans="1:24" x14ac:dyDescent="0.2">
      <c r="A18" s="82">
        <v>17</v>
      </c>
      <c r="B18" s="111" t="s">
        <v>176</v>
      </c>
      <c r="C18" s="83" t="s">
        <v>61</v>
      </c>
      <c r="D18" s="84" t="s">
        <v>62</v>
      </c>
      <c r="E18" s="83">
        <v>20</v>
      </c>
      <c r="F18" s="84">
        <v>22.1</v>
      </c>
      <c r="G18" s="85">
        <v>1</v>
      </c>
      <c r="H18" s="86">
        <v>18</v>
      </c>
      <c r="I18" s="87">
        <v>1</v>
      </c>
      <c r="J18" s="83">
        <v>51.4</v>
      </c>
      <c r="K18" s="84">
        <v>29.2</v>
      </c>
      <c r="L18" s="155">
        <f t="shared" si="3"/>
        <v>1500.8799999999999</v>
      </c>
      <c r="M18" s="116">
        <v>1</v>
      </c>
      <c r="N18" s="1">
        <v>1</v>
      </c>
      <c r="O18" s="1">
        <f t="shared" si="4"/>
        <v>-3</v>
      </c>
      <c r="P18" s="1">
        <v>1</v>
      </c>
      <c r="Q18" s="1">
        <f t="shared" si="5"/>
        <v>-3</v>
      </c>
      <c r="R18" s="1">
        <f t="shared" si="6"/>
        <v>1</v>
      </c>
      <c r="S18" s="1">
        <v>1</v>
      </c>
      <c r="T18" s="116"/>
      <c r="U18" s="117"/>
      <c r="V18" s="117"/>
      <c r="W18" s="117"/>
      <c r="X18" s="117"/>
    </row>
    <row r="19" spans="1:24" x14ac:dyDescent="0.2">
      <c r="A19" s="82">
        <v>18</v>
      </c>
      <c r="B19" s="111" t="s">
        <v>177</v>
      </c>
      <c r="C19" s="83" t="s">
        <v>63</v>
      </c>
      <c r="D19" s="84" t="s">
        <v>64</v>
      </c>
      <c r="E19" s="83">
        <v>22.2</v>
      </c>
      <c r="F19" s="84">
        <v>24.5</v>
      </c>
      <c r="G19" s="85">
        <v>1</v>
      </c>
      <c r="H19" s="86">
        <v>20</v>
      </c>
      <c r="I19" s="87">
        <v>1</v>
      </c>
      <c r="J19" s="83">
        <v>46.3</v>
      </c>
      <c r="K19" s="84">
        <v>32.4</v>
      </c>
      <c r="L19" s="155">
        <f t="shared" si="3"/>
        <v>1500.12</v>
      </c>
      <c r="M19" s="116">
        <v>1</v>
      </c>
      <c r="N19" s="1">
        <v>1</v>
      </c>
      <c r="O19" s="1">
        <f t="shared" si="4"/>
        <v>-3</v>
      </c>
      <c r="P19" s="1">
        <v>1</v>
      </c>
      <c r="Q19" s="1">
        <f t="shared" si="5"/>
        <v>-3</v>
      </c>
      <c r="R19" s="1">
        <f t="shared" si="6"/>
        <v>1</v>
      </c>
      <c r="S19" s="1">
        <v>1</v>
      </c>
      <c r="T19" s="116"/>
      <c r="U19" s="117"/>
      <c r="V19" s="117"/>
      <c r="W19" s="117"/>
      <c r="X19" s="117"/>
    </row>
    <row r="20" spans="1:24" x14ac:dyDescent="0.2">
      <c r="A20" s="82">
        <v>19</v>
      </c>
      <c r="B20" s="111" t="s">
        <v>178</v>
      </c>
      <c r="C20" s="83" t="s">
        <v>65</v>
      </c>
      <c r="D20" s="84" t="s">
        <v>66</v>
      </c>
      <c r="E20" s="83">
        <v>24.4</v>
      </c>
      <c r="F20" s="84">
        <v>26.9</v>
      </c>
      <c r="G20" s="85">
        <v>1</v>
      </c>
      <c r="H20" s="86">
        <v>22</v>
      </c>
      <c r="I20" s="87">
        <v>1</v>
      </c>
      <c r="J20" s="83">
        <v>42.3</v>
      </c>
      <c r="K20" s="84">
        <v>35.5</v>
      </c>
      <c r="L20" s="155">
        <f t="shared" si="3"/>
        <v>1501.6499999999999</v>
      </c>
      <c r="M20" s="116">
        <v>1</v>
      </c>
      <c r="N20" s="1">
        <v>1</v>
      </c>
      <c r="O20" s="1">
        <f t="shared" si="4"/>
        <v>-3</v>
      </c>
      <c r="P20" s="1">
        <v>1</v>
      </c>
      <c r="Q20" s="1">
        <f t="shared" si="5"/>
        <v>-3</v>
      </c>
      <c r="R20" s="1">
        <f t="shared" si="6"/>
        <v>1</v>
      </c>
      <c r="S20" s="1">
        <v>1</v>
      </c>
      <c r="T20" s="116"/>
      <c r="U20" s="116"/>
      <c r="V20" s="116"/>
      <c r="W20" s="116"/>
      <c r="X20" s="116"/>
    </row>
    <row r="21" spans="1:24" x14ac:dyDescent="0.2">
      <c r="A21" s="121">
        <v>20</v>
      </c>
      <c r="B21" s="111" t="s">
        <v>179</v>
      </c>
      <c r="C21" s="83" t="s">
        <v>67</v>
      </c>
      <c r="D21" s="84" t="s">
        <v>68</v>
      </c>
      <c r="E21" s="83">
        <v>26.7</v>
      </c>
      <c r="F21" s="84">
        <v>29.5</v>
      </c>
      <c r="G21" s="85">
        <v>1</v>
      </c>
      <c r="H21" s="86">
        <v>24</v>
      </c>
      <c r="I21" s="87">
        <v>1</v>
      </c>
      <c r="J21" s="83">
        <v>38.6</v>
      </c>
      <c r="K21" s="84">
        <v>38.9</v>
      </c>
      <c r="L21" s="155">
        <f t="shared" si="3"/>
        <v>1501.54</v>
      </c>
      <c r="M21" s="122">
        <v>200</v>
      </c>
      <c r="N21" s="123">
        <v>10</v>
      </c>
      <c r="O21" s="123">
        <v>-30</v>
      </c>
      <c r="P21" s="123">
        <v>10</v>
      </c>
      <c r="Q21" s="123">
        <v>-30</v>
      </c>
      <c r="R21" s="123">
        <v>10</v>
      </c>
      <c r="S21" s="123">
        <v>22</v>
      </c>
      <c r="T21" s="122">
        <v>1</v>
      </c>
      <c r="U21" s="116"/>
      <c r="V21" s="116"/>
      <c r="W21" s="116"/>
      <c r="X21" s="116"/>
    </row>
    <row r="22" spans="1:24" x14ac:dyDescent="0.2">
      <c r="A22" s="82">
        <v>21</v>
      </c>
      <c r="B22" s="111" t="s">
        <v>180</v>
      </c>
      <c r="C22" s="83" t="s">
        <v>69</v>
      </c>
      <c r="D22" s="84" t="s">
        <v>70</v>
      </c>
      <c r="E22" s="83">
        <v>28.9</v>
      </c>
      <c r="F22" s="84">
        <v>31.9</v>
      </c>
      <c r="G22" s="85">
        <v>1</v>
      </c>
      <c r="H22" s="86">
        <v>26</v>
      </c>
      <c r="I22" s="87">
        <v>1</v>
      </c>
      <c r="J22" s="83">
        <v>35.6</v>
      </c>
      <c r="K22" s="84">
        <v>42.1</v>
      </c>
      <c r="L22" s="155">
        <f t="shared" si="3"/>
        <v>1498.7600000000002</v>
      </c>
      <c r="M22" s="116">
        <v>1</v>
      </c>
      <c r="N22" s="1">
        <v>1</v>
      </c>
      <c r="O22" s="1">
        <f t="shared" si="4"/>
        <v>-3</v>
      </c>
      <c r="P22" s="1">
        <v>1</v>
      </c>
      <c r="Q22" s="1">
        <f t="shared" si="5"/>
        <v>-3</v>
      </c>
      <c r="R22" s="1">
        <f t="shared" si="6"/>
        <v>1</v>
      </c>
      <c r="S22" s="1">
        <v>1</v>
      </c>
      <c r="T22" s="116"/>
    </row>
    <row r="23" spans="1:24" x14ac:dyDescent="0.2">
      <c r="A23" s="82">
        <v>22</v>
      </c>
      <c r="B23" s="111" t="s">
        <v>181</v>
      </c>
      <c r="C23" s="83" t="s">
        <v>71</v>
      </c>
      <c r="D23" s="84" t="s">
        <v>71</v>
      </c>
      <c r="E23" s="83">
        <v>31.1</v>
      </c>
      <c r="F23" s="84">
        <v>34.4</v>
      </c>
      <c r="G23" s="85">
        <v>1</v>
      </c>
      <c r="H23" s="86">
        <v>28</v>
      </c>
      <c r="I23" s="87">
        <v>1</v>
      </c>
      <c r="J23" s="83">
        <v>33</v>
      </c>
      <c r="K23" s="84">
        <v>45.4</v>
      </c>
      <c r="L23" s="155">
        <f t="shared" si="3"/>
        <v>1498.2</v>
      </c>
      <c r="M23" s="116">
        <v>1</v>
      </c>
      <c r="N23" s="1">
        <v>1</v>
      </c>
      <c r="O23" s="1">
        <f t="shared" si="4"/>
        <v>-3</v>
      </c>
      <c r="P23" s="1">
        <v>1</v>
      </c>
      <c r="Q23" s="1">
        <f t="shared" si="5"/>
        <v>-3</v>
      </c>
      <c r="R23" s="1">
        <f t="shared" si="6"/>
        <v>1</v>
      </c>
      <c r="S23" s="1">
        <v>1</v>
      </c>
      <c r="T23" s="116"/>
    </row>
    <row r="24" spans="1:24" x14ac:dyDescent="0.2">
      <c r="A24" s="82">
        <v>23</v>
      </c>
      <c r="B24" s="111" t="s">
        <v>182</v>
      </c>
      <c r="C24" s="83" t="s">
        <v>72</v>
      </c>
      <c r="D24" s="84" t="s">
        <v>73</v>
      </c>
      <c r="E24" s="83">
        <v>33.299999999999997</v>
      </c>
      <c r="F24" s="84">
        <v>36.799999999999997</v>
      </c>
      <c r="G24" s="85">
        <v>1</v>
      </c>
      <c r="H24" s="86">
        <v>30</v>
      </c>
      <c r="I24" s="87">
        <v>1</v>
      </c>
      <c r="J24" s="83">
        <v>31</v>
      </c>
      <c r="K24" s="84">
        <v>48.4</v>
      </c>
      <c r="L24" s="155">
        <f t="shared" si="3"/>
        <v>1500.3999999999999</v>
      </c>
      <c r="M24" s="116">
        <v>1</v>
      </c>
      <c r="N24" s="1">
        <v>1</v>
      </c>
      <c r="O24" s="1">
        <f t="shared" si="4"/>
        <v>-3</v>
      </c>
      <c r="P24" s="1">
        <v>1</v>
      </c>
      <c r="Q24" s="1">
        <f t="shared" si="5"/>
        <v>-3</v>
      </c>
      <c r="R24" s="1">
        <f t="shared" si="6"/>
        <v>1</v>
      </c>
      <c r="S24" s="1">
        <v>1</v>
      </c>
      <c r="T24" s="116"/>
    </row>
    <row r="25" spans="1:24" x14ac:dyDescent="0.2">
      <c r="A25" s="82">
        <v>24</v>
      </c>
      <c r="B25" s="111" t="s">
        <v>183</v>
      </c>
      <c r="C25" s="83" t="s">
        <v>74</v>
      </c>
      <c r="D25" s="84" t="s">
        <v>75</v>
      </c>
      <c r="E25" s="83">
        <v>36.700000000000003</v>
      </c>
      <c r="F25" s="84">
        <v>40.6</v>
      </c>
      <c r="G25" s="85">
        <v>1</v>
      </c>
      <c r="H25" s="86">
        <v>33</v>
      </c>
      <c r="I25" s="87">
        <v>1</v>
      </c>
      <c r="J25" s="83">
        <v>28.1</v>
      </c>
      <c r="K25" s="84">
        <v>53.3</v>
      </c>
      <c r="L25" s="155">
        <f t="shared" si="3"/>
        <v>1497.73</v>
      </c>
      <c r="M25" s="116">
        <v>1</v>
      </c>
      <c r="N25" s="1">
        <v>1</v>
      </c>
      <c r="O25" s="1">
        <f t="shared" si="4"/>
        <v>-3</v>
      </c>
      <c r="P25" s="1">
        <v>1</v>
      </c>
      <c r="Q25" s="1">
        <f t="shared" si="5"/>
        <v>-3</v>
      </c>
      <c r="R25" s="1">
        <f t="shared" si="6"/>
        <v>1</v>
      </c>
      <c r="S25" s="1">
        <v>1</v>
      </c>
      <c r="T25" s="116"/>
    </row>
    <row r="26" spans="1:24" x14ac:dyDescent="0.2">
      <c r="A26" s="121">
        <v>25</v>
      </c>
      <c r="B26" s="111" t="s">
        <v>184</v>
      </c>
      <c r="C26" s="83" t="s">
        <v>76</v>
      </c>
      <c r="D26" s="84" t="s">
        <v>77</v>
      </c>
      <c r="E26" s="83">
        <v>40</v>
      </c>
      <c r="F26" s="84">
        <v>44.2</v>
      </c>
      <c r="G26" s="85">
        <v>1</v>
      </c>
      <c r="H26" s="86">
        <v>36</v>
      </c>
      <c r="I26" s="87">
        <v>1</v>
      </c>
      <c r="J26" s="83">
        <v>25.8</v>
      </c>
      <c r="K26" s="84">
        <v>58.1</v>
      </c>
      <c r="L26" s="155">
        <f t="shared" si="3"/>
        <v>1498.98</v>
      </c>
      <c r="M26" s="122">
        <v>140</v>
      </c>
      <c r="N26" s="123">
        <v>10</v>
      </c>
      <c r="O26" s="123">
        <f t="shared" ref="O26" si="7">N26*-3</f>
        <v>-30</v>
      </c>
      <c r="P26" s="123">
        <v>10</v>
      </c>
      <c r="Q26" s="123">
        <f t="shared" ref="Q26" si="8">P26*-3</f>
        <v>-30</v>
      </c>
      <c r="R26" s="123">
        <f t="shared" ref="R26" si="9">N26</f>
        <v>10</v>
      </c>
      <c r="S26" s="123">
        <v>19</v>
      </c>
      <c r="T26" s="122">
        <v>1</v>
      </c>
    </row>
    <row r="27" spans="1:24" x14ac:dyDescent="0.2">
      <c r="A27" s="121">
        <v>26</v>
      </c>
      <c r="B27" s="111" t="s">
        <v>2</v>
      </c>
      <c r="C27" s="83" t="s">
        <v>78</v>
      </c>
      <c r="D27" s="84" t="s">
        <v>79</v>
      </c>
      <c r="E27" s="83">
        <v>44.4</v>
      </c>
      <c r="F27" s="84">
        <v>49.1</v>
      </c>
      <c r="G27" s="85">
        <v>1</v>
      </c>
      <c r="H27" s="86">
        <v>40</v>
      </c>
      <c r="I27" s="87">
        <v>1</v>
      </c>
      <c r="J27" s="83">
        <v>23.3</v>
      </c>
      <c r="K27" s="84">
        <v>64.5</v>
      </c>
      <c r="L27" s="155">
        <f t="shared" si="3"/>
        <v>1502.8500000000001</v>
      </c>
      <c r="M27" s="122">
        <v>160</v>
      </c>
      <c r="N27" s="123">
        <v>10</v>
      </c>
      <c r="O27" s="123">
        <f t="shared" si="4"/>
        <v>-30</v>
      </c>
      <c r="P27" s="123">
        <v>10</v>
      </c>
      <c r="Q27" s="123">
        <f t="shared" si="5"/>
        <v>-30</v>
      </c>
      <c r="R27" s="123">
        <f t="shared" si="6"/>
        <v>10</v>
      </c>
      <c r="S27" s="123">
        <v>19</v>
      </c>
      <c r="T27" s="122">
        <v>1</v>
      </c>
    </row>
    <row r="28" spans="1:24" x14ac:dyDescent="0.2">
      <c r="A28" s="82">
        <v>27</v>
      </c>
      <c r="B28" s="111" t="s">
        <v>185</v>
      </c>
      <c r="C28" s="83" t="s">
        <v>80</v>
      </c>
      <c r="D28" s="84" t="s">
        <v>81</v>
      </c>
      <c r="E28" s="83">
        <v>47.8</v>
      </c>
      <c r="F28" s="84">
        <v>52.8</v>
      </c>
      <c r="G28" s="85">
        <v>1</v>
      </c>
      <c r="H28" s="86">
        <v>43</v>
      </c>
      <c r="I28" s="87">
        <v>1</v>
      </c>
      <c r="J28" s="83">
        <v>21.6</v>
      </c>
      <c r="K28" s="84">
        <v>69.400000000000006</v>
      </c>
      <c r="L28" s="155">
        <f t="shared" si="3"/>
        <v>1499.0400000000002</v>
      </c>
      <c r="M28" s="116">
        <v>1</v>
      </c>
      <c r="N28" s="1">
        <v>1</v>
      </c>
      <c r="O28" s="1">
        <f t="shared" si="4"/>
        <v>-3</v>
      </c>
      <c r="P28" s="1">
        <v>1</v>
      </c>
      <c r="Q28" s="1">
        <f t="shared" si="5"/>
        <v>-3</v>
      </c>
      <c r="R28" s="1">
        <f t="shared" si="6"/>
        <v>1</v>
      </c>
      <c r="S28" s="1">
        <v>1</v>
      </c>
      <c r="T28" s="116"/>
    </row>
    <row r="29" spans="1:24" x14ac:dyDescent="0.2">
      <c r="A29" s="82">
        <v>28</v>
      </c>
      <c r="B29" s="111" t="s">
        <v>186</v>
      </c>
      <c r="C29" s="83" t="s">
        <v>82</v>
      </c>
      <c r="D29" s="84" t="s">
        <v>82</v>
      </c>
      <c r="E29" s="83">
        <v>50</v>
      </c>
      <c r="F29" s="84">
        <v>55.3</v>
      </c>
      <c r="G29" s="85">
        <v>1</v>
      </c>
      <c r="H29" s="86">
        <v>45</v>
      </c>
      <c r="I29" s="87">
        <v>1</v>
      </c>
      <c r="J29" s="83">
        <v>20.6</v>
      </c>
      <c r="K29" s="84">
        <v>72.7</v>
      </c>
      <c r="L29" s="155">
        <f t="shared" si="3"/>
        <v>1497.6200000000001</v>
      </c>
      <c r="M29" s="116">
        <v>1</v>
      </c>
      <c r="N29" s="1">
        <v>1</v>
      </c>
      <c r="O29" s="1">
        <f t="shared" si="4"/>
        <v>-3</v>
      </c>
      <c r="P29" s="1">
        <v>1</v>
      </c>
      <c r="Q29" s="1">
        <f t="shared" si="5"/>
        <v>-3</v>
      </c>
      <c r="R29" s="1">
        <f t="shared" si="6"/>
        <v>1</v>
      </c>
      <c r="S29" s="1">
        <v>1</v>
      </c>
      <c r="T29" s="116"/>
    </row>
    <row r="30" spans="1:24" x14ac:dyDescent="0.2">
      <c r="A30" s="82">
        <v>29</v>
      </c>
      <c r="B30" s="111" t="s">
        <v>187</v>
      </c>
      <c r="C30" s="83" t="s">
        <v>83</v>
      </c>
      <c r="D30" s="84" t="s">
        <v>83</v>
      </c>
      <c r="E30" s="83">
        <v>53.3</v>
      </c>
      <c r="F30" s="84">
        <v>58.9</v>
      </c>
      <c r="G30" s="85">
        <v>1</v>
      </c>
      <c r="H30" s="86">
        <v>48</v>
      </c>
      <c r="I30" s="87">
        <v>1</v>
      </c>
      <c r="J30" s="83">
        <v>19.399999999999999</v>
      </c>
      <c r="K30" s="84">
        <v>77.400000000000006</v>
      </c>
      <c r="L30" s="155">
        <f t="shared" si="3"/>
        <v>1501.56</v>
      </c>
      <c r="M30" s="116">
        <v>1</v>
      </c>
      <c r="N30" s="1">
        <v>1</v>
      </c>
      <c r="O30" s="1">
        <f t="shared" si="4"/>
        <v>-3</v>
      </c>
      <c r="P30" s="1">
        <v>1</v>
      </c>
      <c r="Q30" s="1">
        <f t="shared" si="5"/>
        <v>-3</v>
      </c>
      <c r="R30" s="1">
        <f t="shared" si="6"/>
        <v>1</v>
      </c>
      <c r="S30" s="1">
        <v>1</v>
      </c>
      <c r="T30" s="116"/>
    </row>
    <row r="31" spans="1:24" x14ac:dyDescent="0.2">
      <c r="A31" s="82">
        <v>30</v>
      </c>
      <c r="B31" s="111" t="s">
        <v>188</v>
      </c>
      <c r="C31" s="83" t="s">
        <v>84</v>
      </c>
      <c r="D31" s="84" t="s">
        <v>84</v>
      </c>
      <c r="E31" s="83">
        <v>56.7</v>
      </c>
      <c r="F31" s="84">
        <v>62.7</v>
      </c>
      <c r="G31" s="85">
        <v>1</v>
      </c>
      <c r="H31" s="86">
        <v>51</v>
      </c>
      <c r="I31" s="87">
        <v>1</v>
      </c>
      <c r="J31" s="83">
        <v>18.2</v>
      </c>
      <c r="K31" s="84">
        <v>82.4</v>
      </c>
      <c r="L31" s="155">
        <f t="shared" si="3"/>
        <v>1499.68</v>
      </c>
      <c r="M31" s="116">
        <v>1</v>
      </c>
      <c r="N31" s="1">
        <v>1</v>
      </c>
      <c r="O31" s="1">
        <f t="shared" si="4"/>
        <v>-3</v>
      </c>
      <c r="P31" s="1">
        <v>1</v>
      </c>
      <c r="Q31" s="1">
        <f t="shared" si="5"/>
        <v>-3</v>
      </c>
      <c r="R31" s="1">
        <f t="shared" si="6"/>
        <v>1</v>
      </c>
      <c r="S31" s="1">
        <v>1</v>
      </c>
      <c r="T31" s="116"/>
    </row>
    <row r="32" spans="1:24" x14ac:dyDescent="0.2">
      <c r="A32" s="82">
        <v>31</v>
      </c>
      <c r="B32" s="111" t="s">
        <v>189</v>
      </c>
      <c r="C32" s="83" t="s">
        <v>85</v>
      </c>
      <c r="D32" s="84" t="s">
        <v>85</v>
      </c>
      <c r="E32" s="83">
        <v>60</v>
      </c>
      <c r="F32" s="84">
        <v>66.3</v>
      </c>
      <c r="G32" s="85">
        <v>1</v>
      </c>
      <c r="H32" s="86">
        <v>54</v>
      </c>
      <c r="I32" s="87">
        <v>1</v>
      </c>
      <c r="J32" s="83">
        <v>17.2</v>
      </c>
      <c r="K32" s="84">
        <v>87.1</v>
      </c>
      <c r="L32" s="155">
        <f t="shared" si="3"/>
        <v>1498.12</v>
      </c>
      <c r="M32" s="116">
        <v>1</v>
      </c>
      <c r="N32" s="1">
        <v>1</v>
      </c>
      <c r="O32" s="1">
        <f t="shared" si="4"/>
        <v>-3</v>
      </c>
      <c r="P32" s="1">
        <v>1</v>
      </c>
      <c r="Q32" s="1">
        <f t="shared" si="5"/>
        <v>-3</v>
      </c>
      <c r="R32" s="1">
        <f t="shared" si="6"/>
        <v>1</v>
      </c>
      <c r="S32" s="1">
        <v>1</v>
      </c>
      <c r="T32" s="116"/>
    </row>
    <row r="33" spans="1:20" x14ac:dyDescent="0.2">
      <c r="A33" s="82">
        <v>32</v>
      </c>
      <c r="B33" s="111" t="s">
        <v>190</v>
      </c>
      <c r="C33" s="83" t="s">
        <v>86</v>
      </c>
      <c r="D33" s="84" t="s">
        <v>86</v>
      </c>
      <c r="E33" s="83">
        <v>64.400000000000006</v>
      </c>
      <c r="F33" s="84">
        <v>71.2</v>
      </c>
      <c r="G33" s="85">
        <v>1</v>
      </c>
      <c r="H33" s="86">
        <v>58</v>
      </c>
      <c r="I33" s="87">
        <v>1</v>
      </c>
      <c r="J33" s="83">
        <v>16</v>
      </c>
      <c r="K33" s="84">
        <v>93.6</v>
      </c>
      <c r="L33" s="155">
        <f t="shared" si="3"/>
        <v>1497.6</v>
      </c>
      <c r="M33" s="116">
        <v>1</v>
      </c>
      <c r="N33" s="1">
        <v>1</v>
      </c>
      <c r="O33" s="1">
        <f t="shared" si="4"/>
        <v>-3</v>
      </c>
      <c r="P33" s="1">
        <v>1</v>
      </c>
      <c r="Q33" s="1">
        <f t="shared" si="5"/>
        <v>-3</v>
      </c>
      <c r="R33" s="1">
        <f t="shared" si="6"/>
        <v>1</v>
      </c>
      <c r="S33" s="1">
        <v>1</v>
      </c>
      <c r="T33" s="116"/>
    </row>
    <row r="34" spans="1:20" x14ac:dyDescent="0.2">
      <c r="A34" s="82">
        <v>33</v>
      </c>
      <c r="B34" s="111" t="s">
        <v>191</v>
      </c>
      <c r="C34" s="83" t="s">
        <v>87</v>
      </c>
      <c r="D34" s="84" t="s">
        <v>87</v>
      </c>
      <c r="E34" s="83">
        <v>66.7</v>
      </c>
      <c r="F34" s="84">
        <v>73.7</v>
      </c>
      <c r="G34" s="85">
        <v>1</v>
      </c>
      <c r="H34" s="86">
        <v>60</v>
      </c>
      <c r="I34" s="87">
        <v>1</v>
      </c>
      <c r="J34" s="83">
        <v>15.5</v>
      </c>
      <c r="K34" s="84">
        <v>96.8</v>
      </c>
      <c r="L34" s="155">
        <f t="shared" si="3"/>
        <v>1500.3999999999999</v>
      </c>
      <c r="M34" s="116">
        <v>1</v>
      </c>
      <c r="N34" s="1">
        <v>1</v>
      </c>
      <c r="O34" s="1">
        <f t="shared" si="4"/>
        <v>-3</v>
      </c>
      <c r="P34" s="1">
        <v>1</v>
      </c>
      <c r="Q34" s="1">
        <f t="shared" si="5"/>
        <v>-3</v>
      </c>
      <c r="R34" s="1">
        <f t="shared" si="6"/>
        <v>1</v>
      </c>
      <c r="S34" s="1">
        <v>1</v>
      </c>
      <c r="T34" s="116"/>
    </row>
    <row r="35" spans="1:20" x14ac:dyDescent="0.2">
      <c r="A35" s="82">
        <v>34</v>
      </c>
      <c r="B35" s="111" t="s">
        <v>192</v>
      </c>
      <c r="C35" s="83" t="s">
        <v>88</v>
      </c>
      <c r="D35" s="84" t="s">
        <v>88</v>
      </c>
      <c r="E35" s="83">
        <v>71.099999999999994</v>
      </c>
      <c r="F35" s="84">
        <v>78.599999999999994</v>
      </c>
      <c r="G35" s="85">
        <v>1</v>
      </c>
      <c r="H35" s="86">
        <v>64</v>
      </c>
      <c r="I35" s="87">
        <v>1</v>
      </c>
      <c r="J35" s="83">
        <v>14.6</v>
      </c>
      <c r="K35" s="84">
        <v>103</v>
      </c>
      <c r="L35" s="155">
        <f t="shared" si="3"/>
        <v>1503.8</v>
      </c>
      <c r="M35" s="116">
        <v>1</v>
      </c>
      <c r="N35" s="1">
        <v>1</v>
      </c>
      <c r="O35" s="1">
        <f t="shared" si="4"/>
        <v>-3</v>
      </c>
      <c r="P35" s="1">
        <v>1</v>
      </c>
      <c r="Q35" s="1">
        <f t="shared" si="5"/>
        <v>-3</v>
      </c>
      <c r="R35" s="1">
        <f t="shared" si="6"/>
        <v>1</v>
      </c>
      <c r="S35" s="1">
        <v>1</v>
      </c>
      <c r="T35" s="116"/>
    </row>
    <row r="36" spans="1:20" x14ac:dyDescent="0.2">
      <c r="A36" s="82">
        <v>35</v>
      </c>
      <c r="B36" s="111" t="s">
        <v>193</v>
      </c>
      <c r="C36" s="83" t="s">
        <v>89</v>
      </c>
      <c r="D36" s="84" t="s">
        <v>89</v>
      </c>
      <c r="E36" s="83">
        <v>77.8</v>
      </c>
      <c r="F36" s="84">
        <v>86</v>
      </c>
      <c r="G36" s="85">
        <v>1</v>
      </c>
      <c r="H36" s="86">
        <v>70</v>
      </c>
      <c r="I36" s="87">
        <v>1</v>
      </c>
      <c r="J36" s="83">
        <v>13.3</v>
      </c>
      <c r="K36" s="84">
        <v>113</v>
      </c>
      <c r="L36" s="155">
        <f t="shared" si="3"/>
        <v>1502.9</v>
      </c>
      <c r="M36" s="116">
        <v>1</v>
      </c>
      <c r="N36" s="1">
        <v>1</v>
      </c>
      <c r="O36" s="1">
        <f t="shared" si="4"/>
        <v>-3</v>
      </c>
      <c r="P36" s="1">
        <v>1</v>
      </c>
      <c r="Q36" s="1">
        <f t="shared" si="5"/>
        <v>-3</v>
      </c>
      <c r="R36" s="1">
        <f t="shared" si="6"/>
        <v>1</v>
      </c>
      <c r="S36" s="1">
        <v>1</v>
      </c>
      <c r="T36" s="116"/>
    </row>
    <row r="37" spans="1:20" x14ac:dyDescent="0.2">
      <c r="A37" s="82">
        <v>36</v>
      </c>
      <c r="B37" s="111" t="s">
        <v>194</v>
      </c>
      <c r="C37" s="83" t="s">
        <v>90</v>
      </c>
      <c r="D37" s="84" t="s">
        <v>90</v>
      </c>
      <c r="E37" s="83">
        <v>83.3</v>
      </c>
      <c r="F37" s="84">
        <v>92.1</v>
      </c>
      <c r="G37" s="85">
        <v>1</v>
      </c>
      <c r="H37" s="86">
        <v>75</v>
      </c>
      <c r="I37" s="87">
        <v>1</v>
      </c>
      <c r="J37" s="83">
        <v>12.4</v>
      </c>
      <c r="K37" s="84">
        <v>121</v>
      </c>
      <c r="L37" s="155">
        <f t="shared" si="3"/>
        <v>1500.4</v>
      </c>
      <c r="M37" s="116">
        <v>1</v>
      </c>
      <c r="N37" s="1">
        <v>1</v>
      </c>
      <c r="O37" s="1">
        <f t="shared" si="4"/>
        <v>-3</v>
      </c>
      <c r="P37" s="1">
        <v>1</v>
      </c>
      <c r="Q37" s="1">
        <f t="shared" si="5"/>
        <v>-3</v>
      </c>
      <c r="R37" s="1">
        <f t="shared" si="6"/>
        <v>1</v>
      </c>
      <c r="S37" s="1">
        <v>1</v>
      </c>
      <c r="T37" s="116"/>
    </row>
    <row r="38" spans="1:20" x14ac:dyDescent="0.2">
      <c r="A38" s="82">
        <v>37</v>
      </c>
      <c r="B38" s="111" t="s">
        <v>195</v>
      </c>
      <c r="C38" s="83" t="s">
        <v>91</v>
      </c>
      <c r="D38" s="84" t="s">
        <v>91</v>
      </c>
      <c r="E38" s="83">
        <v>86.7</v>
      </c>
      <c r="F38" s="84">
        <v>95.8</v>
      </c>
      <c r="G38" s="85">
        <v>1</v>
      </c>
      <c r="H38" s="86">
        <v>78</v>
      </c>
      <c r="I38" s="87">
        <v>1</v>
      </c>
      <c r="J38" s="83">
        <v>11.9</v>
      </c>
      <c r="K38" s="84">
        <v>126</v>
      </c>
      <c r="L38" s="155">
        <f t="shared" si="3"/>
        <v>1499.4</v>
      </c>
      <c r="M38" s="116">
        <v>1</v>
      </c>
      <c r="N38" s="1">
        <v>1</v>
      </c>
      <c r="O38" s="1">
        <f t="shared" si="4"/>
        <v>-3</v>
      </c>
      <c r="P38" s="1">
        <v>1</v>
      </c>
      <c r="Q38" s="1">
        <f t="shared" si="5"/>
        <v>-3</v>
      </c>
      <c r="R38" s="1">
        <f t="shared" si="6"/>
        <v>1</v>
      </c>
      <c r="S38" s="1">
        <v>1</v>
      </c>
      <c r="T38" s="116"/>
    </row>
    <row r="39" spans="1:20" x14ac:dyDescent="0.2">
      <c r="A39" s="82">
        <v>38</v>
      </c>
      <c r="B39" s="111" t="s">
        <v>196</v>
      </c>
      <c r="C39" s="83" t="s">
        <v>92</v>
      </c>
      <c r="D39" s="84" t="s">
        <v>92</v>
      </c>
      <c r="E39" s="83">
        <v>94.4</v>
      </c>
      <c r="F39" s="84">
        <v>104</v>
      </c>
      <c r="G39" s="85">
        <v>1</v>
      </c>
      <c r="H39" s="86">
        <v>85</v>
      </c>
      <c r="I39" s="87">
        <v>1</v>
      </c>
      <c r="J39" s="83">
        <v>10.9</v>
      </c>
      <c r="K39" s="84">
        <v>137</v>
      </c>
      <c r="L39" s="155">
        <f t="shared" si="3"/>
        <v>1493.3</v>
      </c>
      <c r="M39" s="116">
        <v>1</v>
      </c>
      <c r="N39" s="1">
        <v>1</v>
      </c>
      <c r="O39" s="1">
        <f t="shared" si="4"/>
        <v>-3</v>
      </c>
      <c r="P39" s="1">
        <v>1</v>
      </c>
      <c r="Q39" s="1">
        <f t="shared" si="5"/>
        <v>-3</v>
      </c>
      <c r="R39" s="1">
        <f t="shared" si="6"/>
        <v>1</v>
      </c>
      <c r="S39" s="1">
        <v>1</v>
      </c>
      <c r="T39" s="116"/>
    </row>
    <row r="40" spans="1:20" x14ac:dyDescent="0.2">
      <c r="A40" s="82">
        <v>39</v>
      </c>
      <c r="B40" s="111" t="s">
        <v>197</v>
      </c>
      <c r="C40" s="83" t="s">
        <v>93</v>
      </c>
      <c r="D40" s="84" t="s">
        <v>93</v>
      </c>
      <c r="E40" s="83">
        <v>100</v>
      </c>
      <c r="F40" s="84">
        <v>111</v>
      </c>
      <c r="G40" s="85">
        <v>1</v>
      </c>
      <c r="H40" s="86">
        <v>90</v>
      </c>
      <c r="I40" s="87">
        <v>1</v>
      </c>
      <c r="J40" s="83">
        <v>10.3</v>
      </c>
      <c r="K40" s="84">
        <v>146</v>
      </c>
      <c r="L40" s="155">
        <f t="shared" si="3"/>
        <v>1503.8000000000002</v>
      </c>
      <c r="M40" s="116">
        <v>1</v>
      </c>
      <c r="N40" s="1">
        <v>1</v>
      </c>
      <c r="O40" s="1">
        <f t="shared" si="4"/>
        <v>-3</v>
      </c>
      <c r="P40" s="1">
        <v>1</v>
      </c>
      <c r="Q40" s="1">
        <f t="shared" si="5"/>
        <v>-3</v>
      </c>
      <c r="R40" s="1">
        <f t="shared" si="6"/>
        <v>1</v>
      </c>
      <c r="S40" s="1">
        <v>1</v>
      </c>
      <c r="T40" s="116"/>
    </row>
    <row r="41" spans="1:20" x14ac:dyDescent="0.2">
      <c r="A41" s="82">
        <v>40</v>
      </c>
      <c r="B41" s="111" t="s">
        <v>198</v>
      </c>
      <c r="C41" s="83" t="s">
        <v>94</v>
      </c>
      <c r="D41" s="84" t="s">
        <v>94</v>
      </c>
      <c r="E41" s="83">
        <v>111</v>
      </c>
      <c r="F41" s="84">
        <v>123</v>
      </c>
      <c r="G41" s="85">
        <v>1</v>
      </c>
      <c r="H41" s="86">
        <v>100</v>
      </c>
      <c r="I41" s="87">
        <v>1</v>
      </c>
      <c r="J41" s="83">
        <v>9.3000000000000007</v>
      </c>
      <c r="K41" s="84">
        <v>162</v>
      </c>
      <c r="L41" s="155">
        <f t="shared" si="3"/>
        <v>1506.6000000000001</v>
      </c>
      <c r="M41" s="116">
        <v>1</v>
      </c>
      <c r="N41" s="1">
        <v>1</v>
      </c>
      <c r="O41" s="1">
        <f t="shared" si="4"/>
        <v>-3</v>
      </c>
      <c r="P41" s="1">
        <v>1</v>
      </c>
      <c r="Q41" s="1">
        <f t="shared" si="5"/>
        <v>-3</v>
      </c>
      <c r="R41" s="1">
        <f t="shared" si="6"/>
        <v>1</v>
      </c>
      <c r="S41" s="1">
        <v>1</v>
      </c>
      <c r="T41" s="116"/>
    </row>
    <row r="42" spans="1:20" x14ac:dyDescent="0.2">
      <c r="A42" s="82">
        <v>41</v>
      </c>
      <c r="B42" s="111" t="s">
        <v>199</v>
      </c>
      <c r="C42" s="83" t="s">
        <v>95</v>
      </c>
      <c r="D42" s="84" t="s">
        <v>95</v>
      </c>
      <c r="E42" s="83">
        <v>122</v>
      </c>
      <c r="F42" s="84">
        <v>135</v>
      </c>
      <c r="G42" s="85">
        <v>1</v>
      </c>
      <c r="H42" s="86">
        <v>110</v>
      </c>
      <c r="I42" s="87">
        <v>1</v>
      </c>
      <c r="J42" s="83">
        <v>8.5</v>
      </c>
      <c r="K42" s="84">
        <v>177</v>
      </c>
      <c r="L42" s="155">
        <f t="shared" si="3"/>
        <v>1504.5</v>
      </c>
      <c r="M42" s="116">
        <v>1</v>
      </c>
      <c r="N42" s="1">
        <v>1</v>
      </c>
      <c r="O42" s="1">
        <f t="shared" si="4"/>
        <v>-3</v>
      </c>
      <c r="P42" s="1">
        <v>1</v>
      </c>
      <c r="Q42" s="1">
        <f t="shared" si="5"/>
        <v>-3</v>
      </c>
      <c r="R42" s="1">
        <f t="shared" si="6"/>
        <v>1</v>
      </c>
      <c r="S42" s="1">
        <v>1</v>
      </c>
      <c r="T42" s="116"/>
    </row>
    <row r="43" spans="1:20" x14ac:dyDescent="0.2">
      <c r="A43" s="82">
        <v>42</v>
      </c>
      <c r="B43" s="111" t="s">
        <v>200</v>
      </c>
      <c r="C43" s="83" t="s">
        <v>96</v>
      </c>
      <c r="D43" s="84" t="s">
        <v>96</v>
      </c>
      <c r="E43" s="83">
        <v>133</v>
      </c>
      <c r="F43" s="84">
        <v>147</v>
      </c>
      <c r="G43" s="85">
        <v>1</v>
      </c>
      <c r="H43" s="86">
        <v>120</v>
      </c>
      <c r="I43" s="87">
        <v>1</v>
      </c>
      <c r="J43" s="83">
        <v>7.8</v>
      </c>
      <c r="K43" s="84">
        <v>193</v>
      </c>
      <c r="L43" s="155">
        <f t="shared" si="3"/>
        <v>1505.3999999999999</v>
      </c>
      <c r="M43" s="116">
        <v>1</v>
      </c>
      <c r="N43" s="1">
        <v>1</v>
      </c>
      <c r="O43" s="1">
        <f t="shared" si="4"/>
        <v>-3</v>
      </c>
      <c r="P43" s="1">
        <v>1</v>
      </c>
      <c r="Q43" s="1">
        <f t="shared" si="5"/>
        <v>-3</v>
      </c>
      <c r="R43" s="1">
        <f t="shared" si="6"/>
        <v>1</v>
      </c>
      <c r="S43" s="1">
        <v>1</v>
      </c>
      <c r="T43" s="116"/>
    </row>
    <row r="44" spans="1:20" x14ac:dyDescent="0.2">
      <c r="A44" s="121">
        <v>43</v>
      </c>
      <c r="B44" s="111" t="s">
        <v>201</v>
      </c>
      <c r="C44" s="83" t="s">
        <v>97</v>
      </c>
      <c r="D44" s="84" t="s">
        <v>97</v>
      </c>
      <c r="E44" s="83">
        <v>144</v>
      </c>
      <c r="F44" s="84">
        <v>159</v>
      </c>
      <c r="G44" s="85">
        <v>1</v>
      </c>
      <c r="H44" s="86">
        <v>130</v>
      </c>
      <c r="I44" s="87">
        <v>1</v>
      </c>
      <c r="J44" s="83">
        <v>7.2</v>
      </c>
      <c r="K44" s="84">
        <v>209</v>
      </c>
      <c r="L44" s="155">
        <f t="shared" si="3"/>
        <v>1504.8</v>
      </c>
      <c r="M44" s="122">
        <v>200</v>
      </c>
      <c r="N44" s="123">
        <v>2</v>
      </c>
      <c r="O44" s="123">
        <f t="shared" si="4"/>
        <v>-6</v>
      </c>
      <c r="P44" s="123">
        <v>50</v>
      </c>
      <c r="Q44" s="123">
        <f t="shared" si="5"/>
        <v>-150</v>
      </c>
      <c r="R44" s="123">
        <v>8</v>
      </c>
      <c r="S44" s="123">
        <v>63</v>
      </c>
      <c r="T44" s="122">
        <v>1</v>
      </c>
    </row>
    <row r="45" spans="1:20" x14ac:dyDescent="0.2">
      <c r="A45" s="82">
        <v>44</v>
      </c>
      <c r="B45" s="111" t="s">
        <v>202</v>
      </c>
      <c r="C45" s="83" t="s">
        <v>98</v>
      </c>
      <c r="D45" s="84" t="s">
        <v>98</v>
      </c>
      <c r="E45" s="83">
        <v>167</v>
      </c>
      <c r="F45" s="84">
        <v>185</v>
      </c>
      <c r="G45" s="85">
        <v>1</v>
      </c>
      <c r="H45" s="86">
        <v>150</v>
      </c>
      <c r="I45" s="87">
        <v>1</v>
      </c>
      <c r="J45" s="83">
        <v>6.2</v>
      </c>
      <c r="K45" s="84">
        <v>243</v>
      </c>
      <c r="L45" s="155">
        <f t="shared" si="3"/>
        <v>1506.6000000000001</v>
      </c>
      <c r="M45" s="116">
        <v>1</v>
      </c>
      <c r="N45" s="1">
        <v>1</v>
      </c>
      <c r="O45" s="1">
        <f t="shared" si="4"/>
        <v>-3</v>
      </c>
      <c r="P45" s="1">
        <v>1</v>
      </c>
      <c r="Q45" s="1">
        <f t="shared" si="5"/>
        <v>-3</v>
      </c>
      <c r="R45" s="1">
        <f t="shared" si="6"/>
        <v>1</v>
      </c>
      <c r="S45" s="1">
        <v>1</v>
      </c>
      <c r="T45" s="116"/>
    </row>
    <row r="46" spans="1:20" x14ac:dyDescent="0.2">
      <c r="A46" s="82">
        <v>45</v>
      </c>
      <c r="B46" s="111" t="s">
        <v>203</v>
      </c>
      <c r="C46" s="83" t="s">
        <v>99</v>
      </c>
      <c r="D46" s="84" t="s">
        <v>99</v>
      </c>
      <c r="E46" s="83">
        <v>178</v>
      </c>
      <c r="F46" s="84">
        <v>197</v>
      </c>
      <c r="G46" s="85">
        <v>1</v>
      </c>
      <c r="H46" s="86">
        <v>160</v>
      </c>
      <c r="I46" s="87">
        <v>1</v>
      </c>
      <c r="J46" s="83">
        <v>5.8</v>
      </c>
      <c r="K46" s="84">
        <v>259</v>
      </c>
      <c r="L46" s="155">
        <f t="shared" si="3"/>
        <v>1502.2</v>
      </c>
      <c r="M46" s="116">
        <v>1</v>
      </c>
      <c r="N46" s="1">
        <v>1</v>
      </c>
      <c r="O46" s="1">
        <f t="shared" si="4"/>
        <v>-3</v>
      </c>
      <c r="P46" s="1">
        <v>1</v>
      </c>
      <c r="Q46" s="1">
        <f t="shared" si="5"/>
        <v>-3</v>
      </c>
      <c r="R46" s="1">
        <f t="shared" si="6"/>
        <v>1</v>
      </c>
      <c r="S46" s="1">
        <v>1</v>
      </c>
      <c r="T46" s="116"/>
    </row>
    <row r="47" spans="1:20" ht="15.75" thickBot="1" x14ac:dyDescent="0.25">
      <c r="A47" s="88">
        <v>46</v>
      </c>
      <c r="B47" s="112" t="s">
        <v>204</v>
      </c>
      <c r="C47" s="89" t="s">
        <v>100</v>
      </c>
      <c r="D47" s="90" t="s">
        <v>100</v>
      </c>
      <c r="E47" s="89">
        <v>189</v>
      </c>
      <c r="F47" s="90">
        <v>209</v>
      </c>
      <c r="G47" s="91">
        <v>1</v>
      </c>
      <c r="H47" s="92">
        <v>170</v>
      </c>
      <c r="I47" s="93">
        <v>1</v>
      </c>
      <c r="J47" s="89">
        <v>5.5</v>
      </c>
      <c r="K47" s="90">
        <v>275</v>
      </c>
      <c r="L47" s="155">
        <f t="shared" si="3"/>
        <v>1512.5</v>
      </c>
      <c r="M47" s="116">
        <v>1</v>
      </c>
      <c r="N47" s="1">
        <v>1</v>
      </c>
      <c r="O47" s="1">
        <f t="shared" si="4"/>
        <v>-3</v>
      </c>
      <c r="P47" s="1">
        <v>1</v>
      </c>
      <c r="Q47" s="1">
        <f t="shared" si="5"/>
        <v>-3</v>
      </c>
      <c r="R47" s="1">
        <f t="shared" si="6"/>
        <v>1</v>
      </c>
      <c r="S47" s="1">
        <v>1</v>
      </c>
      <c r="T47" s="116"/>
    </row>
    <row r="48" spans="1:20" x14ac:dyDescent="0.2">
      <c r="A48" s="94">
        <v>47</v>
      </c>
      <c r="B48" s="113" t="s">
        <v>254</v>
      </c>
      <c r="C48" s="95" t="s">
        <v>101</v>
      </c>
      <c r="D48" s="96" t="s">
        <v>101</v>
      </c>
      <c r="E48" s="95">
        <v>6.4</v>
      </c>
      <c r="F48" s="96">
        <v>7.07</v>
      </c>
      <c r="G48" s="97">
        <v>10</v>
      </c>
      <c r="H48" s="98">
        <v>5</v>
      </c>
      <c r="I48" s="99">
        <v>800</v>
      </c>
      <c r="J48" s="95">
        <v>65.2</v>
      </c>
      <c r="K48" s="96">
        <v>9.1999999999999993</v>
      </c>
      <c r="L48" s="155">
        <f t="shared" si="3"/>
        <v>599.84</v>
      </c>
      <c r="M48" s="116">
        <v>1</v>
      </c>
      <c r="N48" s="1">
        <v>1</v>
      </c>
      <c r="O48" s="1">
        <f t="shared" si="4"/>
        <v>-3</v>
      </c>
      <c r="P48" s="1">
        <v>1</v>
      </c>
      <c r="Q48" s="1">
        <f t="shared" si="5"/>
        <v>-3</v>
      </c>
      <c r="R48" s="1">
        <f t="shared" si="6"/>
        <v>1</v>
      </c>
      <c r="S48" s="1">
        <v>1</v>
      </c>
      <c r="T48" s="116"/>
    </row>
    <row r="49" spans="1:20" x14ac:dyDescent="0.2">
      <c r="A49" s="82">
        <v>48</v>
      </c>
      <c r="B49" s="114" t="s">
        <v>205</v>
      </c>
      <c r="C49" s="100" t="s">
        <v>102</v>
      </c>
      <c r="D49" s="101" t="s">
        <v>102</v>
      </c>
      <c r="E49" s="100">
        <v>6.67</v>
      </c>
      <c r="F49" s="101">
        <v>7.37</v>
      </c>
      <c r="G49" s="102">
        <v>10</v>
      </c>
      <c r="H49" s="103">
        <v>6</v>
      </c>
      <c r="I49" s="104">
        <v>800</v>
      </c>
      <c r="J49" s="100">
        <v>58.3</v>
      </c>
      <c r="K49" s="101">
        <v>10.3</v>
      </c>
      <c r="L49" s="155">
        <f t="shared" si="3"/>
        <v>600.49</v>
      </c>
      <c r="M49" s="116">
        <v>1</v>
      </c>
      <c r="N49" s="1">
        <v>1</v>
      </c>
      <c r="O49" s="1">
        <f t="shared" si="4"/>
        <v>-3</v>
      </c>
      <c r="P49" s="1">
        <v>1</v>
      </c>
      <c r="Q49" s="1">
        <f t="shared" si="5"/>
        <v>-3</v>
      </c>
      <c r="R49" s="1">
        <f t="shared" si="6"/>
        <v>1</v>
      </c>
      <c r="S49" s="1">
        <v>1</v>
      </c>
      <c r="T49" s="116"/>
    </row>
    <row r="50" spans="1:20" x14ac:dyDescent="0.2">
      <c r="A50" s="82">
        <v>49</v>
      </c>
      <c r="B50" s="114" t="s">
        <v>206</v>
      </c>
      <c r="C50" s="100" t="s">
        <v>103</v>
      </c>
      <c r="D50" s="101" t="s">
        <v>104</v>
      </c>
      <c r="E50" s="100">
        <v>7.22</v>
      </c>
      <c r="F50" s="101">
        <v>7.98</v>
      </c>
      <c r="G50" s="102">
        <v>10</v>
      </c>
      <c r="H50" s="103">
        <v>6.5</v>
      </c>
      <c r="I50" s="104">
        <v>500</v>
      </c>
      <c r="J50" s="100">
        <v>53.6</v>
      </c>
      <c r="K50" s="101">
        <v>11.2</v>
      </c>
      <c r="L50" s="155">
        <f t="shared" si="3"/>
        <v>600.31999999999994</v>
      </c>
      <c r="M50" s="116">
        <v>1</v>
      </c>
      <c r="N50" s="1">
        <v>1</v>
      </c>
      <c r="O50" s="1">
        <f t="shared" si="4"/>
        <v>-3</v>
      </c>
      <c r="P50" s="1">
        <v>1</v>
      </c>
      <c r="Q50" s="1">
        <f t="shared" si="5"/>
        <v>-3</v>
      </c>
      <c r="R50" s="1">
        <f t="shared" si="6"/>
        <v>1</v>
      </c>
      <c r="S50" s="1">
        <v>1</v>
      </c>
      <c r="T50" s="116"/>
    </row>
    <row r="51" spans="1:20" x14ac:dyDescent="0.2">
      <c r="A51" s="82">
        <v>50</v>
      </c>
      <c r="B51" s="114" t="s">
        <v>207</v>
      </c>
      <c r="C51" s="100" t="s">
        <v>105</v>
      </c>
      <c r="D51" s="101" t="s">
        <v>105</v>
      </c>
      <c r="E51" s="100">
        <v>7.78</v>
      </c>
      <c r="F51" s="101">
        <v>8.6</v>
      </c>
      <c r="G51" s="102">
        <v>10</v>
      </c>
      <c r="H51" s="103">
        <v>7</v>
      </c>
      <c r="I51" s="104">
        <v>200</v>
      </c>
      <c r="J51" s="100">
        <v>50</v>
      </c>
      <c r="K51" s="101">
        <v>12</v>
      </c>
      <c r="L51" s="155">
        <f t="shared" si="3"/>
        <v>600</v>
      </c>
      <c r="M51" s="116">
        <v>1</v>
      </c>
      <c r="N51" s="1">
        <v>1</v>
      </c>
      <c r="O51" s="1">
        <f t="shared" si="4"/>
        <v>-3</v>
      </c>
      <c r="P51" s="1">
        <v>1</v>
      </c>
      <c r="Q51" s="1">
        <f t="shared" si="5"/>
        <v>-3</v>
      </c>
      <c r="R51" s="1">
        <f t="shared" si="6"/>
        <v>1</v>
      </c>
      <c r="S51" s="1">
        <v>1</v>
      </c>
      <c r="T51" s="116"/>
    </row>
    <row r="52" spans="1:20" x14ac:dyDescent="0.2">
      <c r="A52" s="82">
        <v>51</v>
      </c>
      <c r="B52" s="114" t="s">
        <v>208</v>
      </c>
      <c r="C52" s="100" t="s">
        <v>106</v>
      </c>
      <c r="D52" s="101" t="s">
        <v>107</v>
      </c>
      <c r="E52" s="100">
        <v>8.33</v>
      </c>
      <c r="F52" s="101">
        <v>9.2100000000000009</v>
      </c>
      <c r="G52" s="102">
        <v>1</v>
      </c>
      <c r="H52" s="103">
        <v>7.5</v>
      </c>
      <c r="I52" s="104">
        <v>100</v>
      </c>
      <c r="J52" s="100">
        <v>46.5</v>
      </c>
      <c r="K52" s="101">
        <v>12.9</v>
      </c>
      <c r="L52" s="155">
        <f t="shared" si="3"/>
        <v>599.85</v>
      </c>
      <c r="M52" s="116">
        <v>1</v>
      </c>
      <c r="N52" s="1">
        <v>1</v>
      </c>
      <c r="O52" s="1">
        <f t="shared" si="4"/>
        <v>-3</v>
      </c>
      <c r="P52" s="1">
        <v>1</v>
      </c>
      <c r="Q52" s="1">
        <f t="shared" si="5"/>
        <v>-3</v>
      </c>
      <c r="R52" s="1">
        <f t="shared" si="6"/>
        <v>1</v>
      </c>
      <c r="S52" s="1">
        <v>1</v>
      </c>
      <c r="T52" s="116"/>
    </row>
    <row r="53" spans="1:20" x14ac:dyDescent="0.2">
      <c r="A53" s="82">
        <v>52</v>
      </c>
      <c r="B53" s="114" t="s">
        <v>209</v>
      </c>
      <c r="C53" s="100" t="s">
        <v>108</v>
      </c>
      <c r="D53" s="101" t="s">
        <v>109</v>
      </c>
      <c r="E53" s="100">
        <v>8.89</v>
      </c>
      <c r="F53" s="101">
        <v>9.83</v>
      </c>
      <c r="G53" s="102">
        <v>1</v>
      </c>
      <c r="H53" s="103">
        <v>8</v>
      </c>
      <c r="I53" s="104">
        <v>50</v>
      </c>
      <c r="J53" s="100">
        <v>44.1</v>
      </c>
      <c r="K53" s="101">
        <v>13.6</v>
      </c>
      <c r="L53" s="155">
        <f t="shared" si="3"/>
        <v>599.76</v>
      </c>
      <c r="M53" s="116">
        <v>1</v>
      </c>
      <c r="N53" s="1">
        <v>1</v>
      </c>
      <c r="O53" s="1">
        <f t="shared" si="4"/>
        <v>-3</v>
      </c>
      <c r="P53" s="1">
        <v>1</v>
      </c>
      <c r="Q53" s="1">
        <f t="shared" si="5"/>
        <v>-3</v>
      </c>
      <c r="R53" s="1">
        <f t="shared" si="6"/>
        <v>1</v>
      </c>
      <c r="S53" s="1">
        <v>1</v>
      </c>
      <c r="T53" s="116"/>
    </row>
    <row r="54" spans="1:20" x14ac:dyDescent="0.2">
      <c r="A54" s="82">
        <v>53</v>
      </c>
      <c r="B54" s="114" t="s">
        <v>210</v>
      </c>
      <c r="C54" s="100" t="s">
        <v>110</v>
      </c>
      <c r="D54" s="101" t="s">
        <v>111</v>
      </c>
      <c r="E54" s="100">
        <v>9.44</v>
      </c>
      <c r="F54" s="101">
        <v>10.4</v>
      </c>
      <c r="G54" s="102">
        <v>1</v>
      </c>
      <c r="H54" s="103">
        <v>8.5</v>
      </c>
      <c r="I54" s="104">
        <v>20</v>
      </c>
      <c r="J54" s="100">
        <v>41.7</v>
      </c>
      <c r="K54" s="101">
        <v>14.4</v>
      </c>
      <c r="L54" s="155">
        <f t="shared" si="3"/>
        <v>600.48</v>
      </c>
      <c r="M54" s="116">
        <v>1</v>
      </c>
      <c r="N54" s="1">
        <v>1</v>
      </c>
      <c r="O54" s="1">
        <f t="shared" si="4"/>
        <v>-3</v>
      </c>
      <c r="P54" s="1">
        <v>1</v>
      </c>
      <c r="Q54" s="1">
        <f t="shared" si="5"/>
        <v>-3</v>
      </c>
      <c r="R54" s="1">
        <f t="shared" si="6"/>
        <v>1</v>
      </c>
      <c r="S54" s="1">
        <v>1</v>
      </c>
      <c r="T54" s="116"/>
    </row>
    <row r="55" spans="1:20" x14ac:dyDescent="0.2">
      <c r="A55" s="82">
        <v>54</v>
      </c>
      <c r="B55" s="114" t="s">
        <v>211</v>
      </c>
      <c r="C55" s="100" t="s">
        <v>112</v>
      </c>
      <c r="D55" s="101" t="s">
        <v>113</v>
      </c>
      <c r="E55" s="100">
        <v>10</v>
      </c>
      <c r="F55" s="101">
        <v>11.1</v>
      </c>
      <c r="G55" s="102">
        <v>1</v>
      </c>
      <c r="H55" s="103">
        <v>9</v>
      </c>
      <c r="I55" s="104">
        <v>10</v>
      </c>
      <c r="J55" s="100">
        <v>39</v>
      </c>
      <c r="K55" s="101">
        <v>15.4</v>
      </c>
      <c r="L55" s="155">
        <f t="shared" si="3"/>
        <v>600.6</v>
      </c>
      <c r="M55" s="116">
        <v>1</v>
      </c>
      <c r="N55" s="1">
        <v>1</v>
      </c>
      <c r="O55" s="1">
        <f t="shared" si="4"/>
        <v>-3</v>
      </c>
      <c r="P55" s="1">
        <v>1</v>
      </c>
      <c r="Q55" s="1">
        <f t="shared" si="5"/>
        <v>-3</v>
      </c>
      <c r="R55" s="1">
        <f t="shared" si="6"/>
        <v>1</v>
      </c>
      <c r="S55" s="1">
        <v>1</v>
      </c>
      <c r="T55" s="116"/>
    </row>
    <row r="56" spans="1:20" x14ac:dyDescent="0.2">
      <c r="A56" s="82">
        <v>55</v>
      </c>
      <c r="B56" s="114" t="s">
        <v>212</v>
      </c>
      <c r="C56" s="100" t="s">
        <v>114</v>
      </c>
      <c r="D56" s="101" t="s">
        <v>115</v>
      </c>
      <c r="E56" s="100">
        <v>11.1</v>
      </c>
      <c r="F56" s="101">
        <v>12.3</v>
      </c>
      <c r="G56" s="102">
        <v>1</v>
      </c>
      <c r="H56" s="103">
        <v>10</v>
      </c>
      <c r="I56" s="104">
        <v>5</v>
      </c>
      <c r="J56" s="100">
        <v>35.299999999999997</v>
      </c>
      <c r="K56" s="101">
        <v>17</v>
      </c>
      <c r="L56" s="155">
        <f t="shared" si="3"/>
        <v>600.09999999999991</v>
      </c>
      <c r="M56" s="116">
        <v>1</v>
      </c>
      <c r="N56" s="1">
        <v>1</v>
      </c>
      <c r="O56" s="1">
        <f t="shared" si="4"/>
        <v>-3</v>
      </c>
      <c r="P56" s="1">
        <v>1</v>
      </c>
      <c r="Q56" s="1">
        <f t="shared" si="5"/>
        <v>-3</v>
      </c>
      <c r="R56" s="1">
        <f t="shared" si="6"/>
        <v>1</v>
      </c>
      <c r="S56" s="1">
        <v>1</v>
      </c>
      <c r="T56" s="116"/>
    </row>
    <row r="57" spans="1:20" x14ac:dyDescent="0.2">
      <c r="A57" s="82">
        <v>56</v>
      </c>
      <c r="B57" s="114" t="s">
        <v>213</v>
      </c>
      <c r="C57" s="100" t="s">
        <v>116</v>
      </c>
      <c r="D57" s="101" t="s">
        <v>116</v>
      </c>
      <c r="E57" s="100">
        <v>12.2</v>
      </c>
      <c r="F57" s="101">
        <v>13.5</v>
      </c>
      <c r="G57" s="102">
        <v>1</v>
      </c>
      <c r="H57" s="103">
        <v>11</v>
      </c>
      <c r="I57" s="104">
        <v>5</v>
      </c>
      <c r="J57" s="100">
        <v>33</v>
      </c>
      <c r="K57" s="101">
        <v>18.2</v>
      </c>
      <c r="L57" s="155">
        <f t="shared" si="3"/>
        <v>600.6</v>
      </c>
      <c r="M57" s="116">
        <v>1</v>
      </c>
      <c r="N57" s="1">
        <v>1</v>
      </c>
      <c r="O57" s="1">
        <f t="shared" si="4"/>
        <v>-3</v>
      </c>
      <c r="P57" s="1">
        <v>1</v>
      </c>
      <c r="Q57" s="1">
        <f t="shared" si="5"/>
        <v>-3</v>
      </c>
      <c r="R57" s="1">
        <f t="shared" si="6"/>
        <v>1</v>
      </c>
      <c r="S57" s="1">
        <v>1</v>
      </c>
      <c r="T57" s="116"/>
    </row>
    <row r="58" spans="1:20" x14ac:dyDescent="0.2">
      <c r="A58" s="121">
        <v>57</v>
      </c>
      <c r="B58" s="114" t="s">
        <v>214</v>
      </c>
      <c r="C58" s="100" t="s">
        <v>117</v>
      </c>
      <c r="D58" s="101" t="s">
        <v>118</v>
      </c>
      <c r="E58" s="100">
        <v>13.3</v>
      </c>
      <c r="F58" s="101">
        <v>14.7</v>
      </c>
      <c r="G58" s="102">
        <v>1</v>
      </c>
      <c r="H58" s="103">
        <v>12</v>
      </c>
      <c r="I58" s="104">
        <v>5</v>
      </c>
      <c r="J58" s="100">
        <v>30.2</v>
      </c>
      <c r="K58" s="101">
        <v>19.899999999999999</v>
      </c>
      <c r="L58" s="155">
        <f t="shared" si="3"/>
        <v>600.9799999999999</v>
      </c>
      <c r="M58" s="122">
        <v>160</v>
      </c>
      <c r="N58" s="123">
        <v>10</v>
      </c>
      <c r="O58" s="123">
        <f t="shared" si="4"/>
        <v>-30</v>
      </c>
      <c r="P58" s="123">
        <v>5</v>
      </c>
      <c r="Q58" s="123">
        <f t="shared" si="5"/>
        <v>-15</v>
      </c>
      <c r="R58" s="123">
        <v>20</v>
      </c>
      <c r="S58" s="123">
        <v>17</v>
      </c>
      <c r="T58" s="122">
        <v>1</v>
      </c>
    </row>
    <row r="59" spans="1:20" x14ac:dyDescent="0.2">
      <c r="A59" s="82">
        <v>58</v>
      </c>
      <c r="B59" s="114" t="s">
        <v>215</v>
      </c>
      <c r="C59" s="100" t="s">
        <v>119</v>
      </c>
      <c r="D59" s="101" t="s">
        <v>119</v>
      </c>
      <c r="E59" s="100">
        <v>14.4</v>
      </c>
      <c r="F59" s="101">
        <v>15.9</v>
      </c>
      <c r="G59" s="102">
        <v>1</v>
      </c>
      <c r="H59" s="103">
        <v>13</v>
      </c>
      <c r="I59" s="104">
        <v>1</v>
      </c>
      <c r="J59" s="100">
        <v>27.9</v>
      </c>
      <c r="K59" s="101">
        <v>21.5</v>
      </c>
      <c r="L59" s="155">
        <f t="shared" si="3"/>
        <v>599.85</v>
      </c>
      <c r="M59" s="116">
        <v>1</v>
      </c>
      <c r="N59" s="1">
        <v>1</v>
      </c>
      <c r="O59" s="1">
        <f t="shared" si="4"/>
        <v>-3</v>
      </c>
      <c r="P59" s="1">
        <v>1</v>
      </c>
      <c r="Q59" s="1">
        <f t="shared" si="5"/>
        <v>-3</v>
      </c>
      <c r="R59" s="1">
        <f t="shared" si="6"/>
        <v>1</v>
      </c>
      <c r="S59" s="1">
        <v>1</v>
      </c>
      <c r="T59" s="116"/>
    </row>
    <row r="60" spans="1:20" x14ac:dyDescent="0.2">
      <c r="A60" s="82">
        <v>59</v>
      </c>
      <c r="B60" s="114" t="s">
        <v>216</v>
      </c>
      <c r="C60" s="100" t="s">
        <v>120</v>
      </c>
      <c r="D60" s="101" t="s">
        <v>121</v>
      </c>
      <c r="E60" s="100">
        <v>15.6</v>
      </c>
      <c r="F60" s="101">
        <v>17.2</v>
      </c>
      <c r="G60" s="102">
        <v>1</v>
      </c>
      <c r="H60" s="103">
        <v>14</v>
      </c>
      <c r="I60" s="104">
        <v>1</v>
      </c>
      <c r="J60" s="100">
        <v>25.9</v>
      </c>
      <c r="K60" s="101">
        <v>23.2</v>
      </c>
      <c r="L60" s="155">
        <f t="shared" si="3"/>
        <v>600.88</v>
      </c>
      <c r="M60" s="116">
        <v>1</v>
      </c>
      <c r="N60" s="1">
        <v>1</v>
      </c>
      <c r="O60" s="1">
        <f t="shared" si="4"/>
        <v>-3</v>
      </c>
      <c r="P60" s="1">
        <v>1</v>
      </c>
      <c r="Q60" s="1">
        <f t="shared" si="5"/>
        <v>-3</v>
      </c>
      <c r="R60" s="1">
        <f t="shared" si="6"/>
        <v>1</v>
      </c>
      <c r="S60" s="1">
        <v>1</v>
      </c>
      <c r="T60" s="116"/>
    </row>
    <row r="61" spans="1:20" x14ac:dyDescent="0.2">
      <c r="A61" s="82">
        <v>60</v>
      </c>
      <c r="B61" s="114" t="s">
        <v>217</v>
      </c>
      <c r="C61" s="100" t="s">
        <v>122</v>
      </c>
      <c r="D61" s="101" t="s">
        <v>123</v>
      </c>
      <c r="E61" s="100">
        <v>16.7</v>
      </c>
      <c r="F61" s="101">
        <v>18.5</v>
      </c>
      <c r="G61" s="102">
        <v>1</v>
      </c>
      <c r="H61" s="103">
        <v>15</v>
      </c>
      <c r="I61" s="104">
        <v>1</v>
      </c>
      <c r="J61" s="100">
        <v>24.6</v>
      </c>
      <c r="K61" s="101">
        <v>24.4</v>
      </c>
      <c r="L61" s="155">
        <f t="shared" si="3"/>
        <v>600.24</v>
      </c>
      <c r="M61" s="116">
        <v>1</v>
      </c>
      <c r="N61" s="1">
        <v>1</v>
      </c>
      <c r="O61" s="1">
        <f t="shared" si="4"/>
        <v>-3</v>
      </c>
      <c r="P61" s="1">
        <v>1</v>
      </c>
      <c r="Q61" s="1">
        <f t="shared" si="5"/>
        <v>-3</v>
      </c>
      <c r="R61" s="1">
        <f t="shared" si="6"/>
        <v>1</v>
      </c>
      <c r="S61" s="1">
        <v>1</v>
      </c>
      <c r="T61" s="116"/>
    </row>
    <row r="62" spans="1:20" x14ac:dyDescent="0.2">
      <c r="A62" s="82">
        <v>61</v>
      </c>
      <c r="B62" s="114" t="s">
        <v>218</v>
      </c>
      <c r="C62" s="100" t="s">
        <v>124</v>
      </c>
      <c r="D62" s="101" t="s">
        <v>122</v>
      </c>
      <c r="E62" s="100">
        <v>17.8</v>
      </c>
      <c r="F62" s="101">
        <v>19.7</v>
      </c>
      <c r="G62" s="102">
        <v>1</v>
      </c>
      <c r="H62" s="103">
        <v>16</v>
      </c>
      <c r="I62" s="104">
        <v>1</v>
      </c>
      <c r="J62" s="100">
        <v>23.1</v>
      </c>
      <c r="K62" s="101">
        <v>26</v>
      </c>
      <c r="L62" s="155">
        <f t="shared" si="3"/>
        <v>600.6</v>
      </c>
      <c r="M62" s="116">
        <v>1</v>
      </c>
      <c r="N62" s="1">
        <v>1</v>
      </c>
      <c r="O62" s="1">
        <f t="shared" si="4"/>
        <v>-3</v>
      </c>
      <c r="P62" s="1">
        <v>1</v>
      </c>
      <c r="Q62" s="1">
        <f t="shared" si="5"/>
        <v>-3</v>
      </c>
      <c r="R62" s="1">
        <f t="shared" si="6"/>
        <v>1</v>
      </c>
      <c r="S62" s="1">
        <v>1</v>
      </c>
      <c r="T62" s="116"/>
    </row>
    <row r="63" spans="1:20" x14ac:dyDescent="0.2">
      <c r="A63" s="82">
        <v>62</v>
      </c>
      <c r="B63" s="114" t="s">
        <v>219</v>
      </c>
      <c r="C63" s="100" t="s">
        <v>125</v>
      </c>
      <c r="D63" s="101" t="s">
        <v>125</v>
      </c>
      <c r="E63" s="100">
        <v>18.899999999999999</v>
      </c>
      <c r="F63" s="101">
        <v>20.9</v>
      </c>
      <c r="G63" s="102">
        <v>1</v>
      </c>
      <c r="H63" s="103">
        <v>17</v>
      </c>
      <c r="I63" s="104">
        <v>1</v>
      </c>
      <c r="J63" s="100">
        <v>21.7</v>
      </c>
      <c r="K63" s="101">
        <v>27.6</v>
      </c>
      <c r="L63" s="155">
        <f t="shared" si="3"/>
        <v>598.91999999999996</v>
      </c>
      <c r="M63" s="116">
        <v>1</v>
      </c>
      <c r="N63" s="1">
        <v>1</v>
      </c>
      <c r="O63" s="1">
        <f t="shared" si="4"/>
        <v>-3</v>
      </c>
      <c r="P63" s="1">
        <v>1</v>
      </c>
      <c r="Q63" s="1">
        <f t="shared" si="5"/>
        <v>-3</v>
      </c>
      <c r="R63" s="1">
        <f t="shared" si="6"/>
        <v>1</v>
      </c>
      <c r="S63" s="1">
        <v>1</v>
      </c>
      <c r="T63" s="116"/>
    </row>
    <row r="64" spans="1:20" x14ac:dyDescent="0.2">
      <c r="A64" s="82">
        <v>63</v>
      </c>
      <c r="B64" s="114" t="s">
        <v>220</v>
      </c>
      <c r="C64" s="100" t="s">
        <v>126</v>
      </c>
      <c r="D64" s="101" t="s">
        <v>127</v>
      </c>
      <c r="E64" s="100">
        <v>20</v>
      </c>
      <c r="F64" s="101">
        <v>22.1</v>
      </c>
      <c r="G64" s="102">
        <v>1</v>
      </c>
      <c r="H64" s="103">
        <v>18</v>
      </c>
      <c r="I64" s="104">
        <v>1</v>
      </c>
      <c r="J64" s="100">
        <v>20.5</v>
      </c>
      <c r="K64" s="101">
        <v>29.2</v>
      </c>
      <c r="L64" s="155">
        <f t="shared" si="3"/>
        <v>598.6</v>
      </c>
      <c r="M64" s="116">
        <v>1</v>
      </c>
      <c r="N64" s="1">
        <v>1</v>
      </c>
      <c r="O64" s="1">
        <f t="shared" si="4"/>
        <v>-3</v>
      </c>
      <c r="P64" s="1">
        <v>1</v>
      </c>
      <c r="Q64" s="1">
        <f t="shared" si="5"/>
        <v>-3</v>
      </c>
      <c r="R64" s="1">
        <f t="shared" si="6"/>
        <v>1</v>
      </c>
      <c r="S64" s="1">
        <v>1</v>
      </c>
      <c r="T64" s="116"/>
    </row>
    <row r="65" spans="1:20" x14ac:dyDescent="0.2">
      <c r="A65" s="82">
        <v>64</v>
      </c>
      <c r="B65" s="114" t="s">
        <v>221</v>
      </c>
      <c r="C65" s="100" t="s">
        <v>128</v>
      </c>
      <c r="D65" s="101" t="s">
        <v>128</v>
      </c>
      <c r="E65" s="100">
        <v>22.2</v>
      </c>
      <c r="F65" s="101">
        <v>24.5</v>
      </c>
      <c r="G65" s="102">
        <v>1</v>
      </c>
      <c r="H65" s="103">
        <v>20</v>
      </c>
      <c r="I65" s="104">
        <v>1</v>
      </c>
      <c r="J65" s="100">
        <v>18.5</v>
      </c>
      <c r="K65" s="101">
        <v>32.4</v>
      </c>
      <c r="L65" s="155">
        <f t="shared" si="3"/>
        <v>599.4</v>
      </c>
      <c r="M65" s="116">
        <v>1</v>
      </c>
      <c r="N65" s="1">
        <v>1</v>
      </c>
      <c r="O65" s="1">
        <f t="shared" si="4"/>
        <v>-3</v>
      </c>
      <c r="P65" s="1">
        <v>1</v>
      </c>
      <c r="Q65" s="1">
        <f t="shared" si="5"/>
        <v>-3</v>
      </c>
      <c r="R65" s="1">
        <f t="shared" si="6"/>
        <v>1</v>
      </c>
      <c r="S65" s="1">
        <v>1</v>
      </c>
      <c r="T65" s="116"/>
    </row>
    <row r="66" spans="1:20" x14ac:dyDescent="0.2">
      <c r="A66" s="82">
        <v>65</v>
      </c>
      <c r="B66" s="114" t="s">
        <v>222</v>
      </c>
      <c r="C66" s="100" t="s">
        <v>129</v>
      </c>
      <c r="D66" s="101" t="s">
        <v>130</v>
      </c>
      <c r="E66" s="100">
        <v>24.4</v>
      </c>
      <c r="F66" s="101">
        <v>26.9</v>
      </c>
      <c r="G66" s="102">
        <v>1</v>
      </c>
      <c r="H66" s="103">
        <v>22</v>
      </c>
      <c r="I66" s="104">
        <v>1</v>
      </c>
      <c r="J66" s="100">
        <v>16.899999999999999</v>
      </c>
      <c r="K66" s="101">
        <v>35.5</v>
      </c>
      <c r="L66" s="155">
        <f t="shared" si="3"/>
        <v>599.94999999999993</v>
      </c>
      <c r="M66" s="116">
        <v>1</v>
      </c>
      <c r="N66" s="1">
        <v>1</v>
      </c>
      <c r="O66" s="1">
        <f t="shared" si="4"/>
        <v>-3</v>
      </c>
      <c r="P66" s="1">
        <v>1</v>
      </c>
      <c r="Q66" s="1">
        <f t="shared" si="5"/>
        <v>-3</v>
      </c>
      <c r="R66" s="1">
        <f t="shared" si="6"/>
        <v>1</v>
      </c>
      <c r="S66" s="1">
        <v>1</v>
      </c>
      <c r="T66" s="116"/>
    </row>
    <row r="67" spans="1:20" x14ac:dyDescent="0.2">
      <c r="A67" s="82">
        <v>66</v>
      </c>
      <c r="B67" s="114" t="s">
        <v>223</v>
      </c>
      <c r="C67" s="100" t="s">
        <v>131</v>
      </c>
      <c r="D67" s="101" t="s">
        <v>132</v>
      </c>
      <c r="E67" s="100">
        <v>26.7</v>
      </c>
      <c r="F67" s="101">
        <v>29.5</v>
      </c>
      <c r="G67" s="102">
        <v>1</v>
      </c>
      <c r="H67" s="103">
        <v>24</v>
      </c>
      <c r="I67" s="104">
        <v>1</v>
      </c>
      <c r="J67" s="100">
        <v>15.4</v>
      </c>
      <c r="K67" s="101">
        <v>38.9</v>
      </c>
      <c r="L67" s="155">
        <f t="shared" ref="L67:L94" si="10">J67*K67</f>
        <v>599.05999999999995</v>
      </c>
      <c r="M67" s="116">
        <v>1</v>
      </c>
      <c r="N67" s="1">
        <v>1</v>
      </c>
      <c r="O67" s="1">
        <f t="shared" si="4"/>
        <v>-3</v>
      </c>
      <c r="P67" s="1">
        <v>1</v>
      </c>
      <c r="Q67" s="1">
        <f t="shared" si="5"/>
        <v>-3</v>
      </c>
      <c r="R67" s="1">
        <f t="shared" si="6"/>
        <v>1</v>
      </c>
      <c r="S67" s="1">
        <v>1</v>
      </c>
      <c r="T67" s="116"/>
    </row>
    <row r="68" spans="1:20" x14ac:dyDescent="0.2">
      <c r="A68" s="82">
        <v>67</v>
      </c>
      <c r="B68" s="114" t="s">
        <v>224</v>
      </c>
      <c r="C68" s="100" t="s">
        <v>133</v>
      </c>
      <c r="D68" s="101" t="s">
        <v>134</v>
      </c>
      <c r="E68" s="100">
        <v>28.9</v>
      </c>
      <c r="F68" s="101">
        <v>31.9</v>
      </c>
      <c r="G68" s="102">
        <v>1</v>
      </c>
      <c r="H68" s="103">
        <v>26</v>
      </c>
      <c r="I68" s="104">
        <v>1</v>
      </c>
      <c r="J68" s="100">
        <v>14.3</v>
      </c>
      <c r="K68" s="101">
        <v>42.1</v>
      </c>
      <c r="L68" s="155">
        <f t="shared" si="10"/>
        <v>602.03000000000009</v>
      </c>
      <c r="M68" s="116">
        <v>1</v>
      </c>
      <c r="N68" s="1">
        <v>1</v>
      </c>
      <c r="O68" s="1">
        <f t="shared" si="4"/>
        <v>-3</v>
      </c>
      <c r="P68" s="1">
        <v>1</v>
      </c>
      <c r="Q68" s="1">
        <f t="shared" si="5"/>
        <v>-3</v>
      </c>
      <c r="R68" s="1">
        <f t="shared" si="6"/>
        <v>1</v>
      </c>
      <c r="S68" s="1">
        <v>1</v>
      </c>
      <c r="T68" s="116"/>
    </row>
    <row r="69" spans="1:20" x14ac:dyDescent="0.2">
      <c r="A69" s="82">
        <v>68</v>
      </c>
      <c r="B69" s="114" t="s">
        <v>225</v>
      </c>
      <c r="C69" s="100" t="s">
        <v>135</v>
      </c>
      <c r="D69" s="101" t="s">
        <v>135</v>
      </c>
      <c r="E69" s="100">
        <v>31.1</v>
      </c>
      <c r="F69" s="101">
        <v>34.4</v>
      </c>
      <c r="G69" s="102">
        <v>1</v>
      </c>
      <c r="H69" s="103">
        <v>28</v>
      </c>
      <c r="I69" s="104">
        <v>1</v>
      </c>
      <c r="J69" s="100">
        <v>13.2</v>
      </c>
      <c r="K69" s="101">
        <v>45.4</v>
      </c>
      <c r="L69" s="155">
        <f t="shared" si="10"/>
        <v>599.28</v>
      </c>
      <c r="M69" s="116">
        <v>1</v>
      </c>
      <c r="N69" s="1">
        <v>1</v>
      </c>
      <c r="O69" s="1">
        <f t="shared" si="4"/>
        <v>-3</v>
      </c>
      <c r="P69" s="1">
        <v>1</v>
      </c>
      <c r="Q69" s="1">
        <f t="shared" si="5"/>
        <v>-3</v>
      </c>
      <c r="R69" s="1">
        <f t="shared" ref="R69:R94" si="11">N69</f>
        <v>1</v>
      </c>
      <c r="S69" s="1">
        <v>1</v>
      </c>
      <c r="T69" s="116"/>
    </row>
    <row r="70" spans="1:20" x14ac:dyDescent="0.2">
      <c r="A70" s="121">
        <v>69</v>
      </c>
      <c r="B70" s="114" t="s">
        <v>226</v>
      </c>
      <c r="C70" s="100" t="s">
        <v>136</v>
      </c>
      <c r="D70" s="101" t="s">
        <v>137</v>
      </c>
      <c r="E70" s="100">
        <v>33.299999999999997</v>
      </c>
      <c r="F70" s="101">
        <v>36.799999999999997</v>
      </c>
      <c r="G70" s="102">
        <v>1</v>
      </c>
      <c r="H70" s="103">
        <v>30</v>
      </c>
      <c r="I70" s="104">
        <v>1</v>
      </c>
      <c r="J70" s="100">
        <v>12.4</v>
      </c>
      <c r="K70" s="101">
        <v>48.4</v>
      </c>
      <c r="L70" s="155">
        <f t="shared" si="10"/>
        <v>600.16</v>
      </c>
      <c r="M70" s="122">
        <v>93</v>
      </c>
      <c r="N70" s="123">
        <v>5</v>
      </c>
      <c r="O70" s="123">
        <f t="shared" ref="O70:O94" si="12">N70*-3</f>
        <v>-15</v>
      </c>
      <c r="P70" s="123">
        <v>10</v>
      </c>
      <c r="Q70" s="123">
        <f t="shared" ref="Q70:Q94" si="13">P70*-3</f>
        <v>-30</v>
      </c>
      <c r="R70" s="123">
        <f t="shared" si="11"/>
        <v>5</v>
      </c>
      <c r="S70" s="123">
        <v>18</v>
      </c>
      <c r="T70" s="122">
        <v>1</v>
      </c>
    </row>
    <row r="71" spans="1:20" x14ac:dyDescent="0.2">
      <c r="A71" s="82">
        <v>70</v>
      </c>
      <c r="B71" s="114" t="s">
        <v>227</v>
      </c>
      <c r="C71" s="100" t="s">
        <v>138</v>
      </c>
      <c r="D71" s="101" t="s">
        <v>139</v>
      </c>
      <c r="E71" s="100">
        <v>36.700000000000003</v>
      </c>
      <c r="F71" s="101">
        <v>40.6</v>
      </c>
      <c r="G71" s="102">
        <v>1</v>
      </c>
      <c r="H71" s="103">
        <v>33</v>
      </c>
      <c r="I71" s="104">
        <v>1</v>
      </c>
      <c r="J71" s="100">
        <v>11.3</v>
      </c>
      <c r="K71" s="101">
        <v>53.3</v>
      </c>
      <c r="L71" s="155">
        <f t="shared" si="10"/>
        <v>602.29</v>
      </c>
      <c r="M71" s="116">
        <v>1</v>
      </c>
      <c r="N71" s="1">
        <v>1</v>
      </c>
      <c r="O71" s="1">
        <f t="shared" si="12"/>
        <v>-3</v>
      </c>
      <c r="P71" s="1">
        <v>1</v>
      </c>
      <c r="Q71" s="1">
        <f t="shared" si="13"/>
        <v>-3</v>
      </c>
      <c r="R71" s="1">
        <f t="shared" si="11"/>
        <v>1</v>
      </c>
      <c r="S71" s="1">
        <v>1</v>
      </c>
      <c r="T71" s="116"/>
    </row>
    <row r="72" spans="1:20" x14ac:dyDescent="0.2">
      <c r="A72" s="121">
        <v>71</v>
      </c>
      <c r="B72" s="114" t="s">
        <v>228</v>
      </c>
      <c r="C72" s="100" t="s">
        <v>140</v>
      </c>
      <c r="D72" s="101" t="s">
        <v>141</v>
      </c>
      <c r="E72" s="100">
        <v>40</v>
      </c>
      <c r="F72" s="101">
        <v>44.2</v>
      </c>
      <c r="G72" s="102">
        <v>1</v>
      </c>
      <c r="H72" s="103">
        <v>36</v>
      </c>
      <c r="I72" s="104">
        <v>1</v>
      </c>
      <c r="J72" s="100">
        <v>10.3</v>
      </c>
      <c r="K72" s="101">
        <v>58.1</v>
      </c>
      <c r="L72" s="155">
        <f t="shared" si="10"/>
        <v>598.43000000000006</v>
      </c>
      <c r="M72" s="122">
        <v>91</v>
      </c>
      <c r="N72" s="123">
        <v>5</v>
      </c>
      <c r="O72" s="123">
        <f t="shared" si="12"/>
        <v>-15</v>
      </c>
      <c r="P72" s="123">
        <v>10</v>
      </c>
      <c r="Q72" s="123">
        <f t="shared" si="13"/>
        <v>-30</v>
      </c>
      <c r="R72" s="123">
        <f t="shared" si="11"/>
        <v>5</v>
      </c>
      <c r="S72" s="123">
        <v>20</v>
      </c>
      <c r="T72" s="122">
        <v>1</v>
      </c>
    </row>
    <row r="73" spans="1:20" x14ac:dyDescent="0.2">
      <c r="A73" s="82">
        <v>72</v>
      </c>
      <c r="B73" s="114" t="s">
        <v>229</v>
      </c>
      <c r="C73" s="100" t="s">
        <v>142</v>
      </c>
      <c r="D73" s="101" t="s">
        <v>143</v>
      </c>
      <c r="E73" s="100">
        <v>44.4</v>
      </c>
      <c r="F73" s="101">
        <v>49.1</v>
      </c>
      <c r="G73" s="102">
        <v>1</v>
      </c>
      <c r="H73" s="103">
        <v>40</v>
      </c>
      <c r="I73" s="104">
        <v>1</v>
      </c>
      <c r="J73" s="100">
        <v>9.3000000000000007</v>
      </c>
      <c r="K73" s="101">
        <v>64.5</v>
      </c>
      <c r="L73" s="155">
        <f t="shared" si="10"/>
        <v>599.85</v>
      </c>
      <c r="M73" s="116">
        <v>1</v>
      </c>
      <c r="N73" s="1">
        <v>1</v>
      </c>
      <c r="O73" s="1">
        <f t="shared" si="12"/>
        <v>-3</v>
      </c>
      <c r="P73" s="1">
        <v>1</v>
      </c>
      <c r="Q73" s="1">
        <f t="shared" si="13"/>
        <v>-3</v>
      </c>
      <c r="R73" s="1">
        <f t="shared" si="11"/>
        <v>1</v>
      </c>
      <c r="S73" s="1">
        <v>1</v>
      </c>
      <c r="T73" s="116"/>
    </row>
    <row r="74" spans="1:20" x14ac:dyDescent="0.2">
      <c r="A74" s="82">
        <v>73</v>
      </c>
      <c r="B74" s="114" t="s">
        <v>230</v>
      </c>
      <c r="C74" s="100" t="s">
        <v>144</v>
      </c>
      <c r="D74" s="101" t="s">
        <v>145</v>
      </c>
      <c r="E74" s="100">
        <v>47.8</v>
      </c>
      <c r="F74" s="101">
        <v>52.8</v>
      </c>
      <c r="G74" s="102">
        <v>1</v>
      </c>
      <c r="H74" s="103">
        <v>43</v>
      </c>
      <c r="I74" s="104">
        <v>1</v>
      </c>
      <c r="J74" s="100">
        <v>8.6</v>
      </c>
      <c r="K74" s="101">
        <v>69.400000000000006</v>
      </c>
      <c r="L74" s="155">
        <f t="shared" si="10"/>
        <v>596.84</v>
      </c>
      <c r="M74" s="116">
        <v>1</v>
      </c>
      <c r="N74" s="1">
        <v>1</v>
      </c>
      <c r="O74" s="1">
        <f t="shared" si="12"/>
        <v>-3</v>
      </c>
      <c r="P74" s="1">
        <v>1</v>
      </c>
      <c r="Q74" s="1">
        <f t="shared" si="13"/>
        <v>-3</v>
      </c>
      <c r="R74" s="1">
        <f t="shared" si="11"/>
        <v>1</v>
      </c>
      <c r="S74" s="1">
        <v>1</v>
      </c>
      <c r="T74" s="116"/>
    </row>
    <row r="75" spans="1:20" x14ac:dyDescent="0.2">
      <c r="A75" s="82">
        <v>74</v>
      </c>
      <c r="B75" s="114" t="s">
        <v>231</v>
      </c>
      <c r="C75" s="100" t="s">
        <v>146</v>
      </c>
      <c r="D75" s="101" t="s">
        <v>146</v>
      </c>
      <c r="E75" s="100">
        <v>50</v>
      </c>
      <c r="F75" s="101">
        <v>55.3</v>
      </c>
      <c r="G75" s="102">
        <v>1</v>
      </c>
      <c r="H75" s="103">
        <v>45</v>
      </c>
      <c r="I75" s="104">
        <v>1</v>
      </c>
      <c r="J75" s="100">
        <v>8.3000000000000007</v>
      </c>
      <c r="K75" s="101">
        <v>72.7</v>
      </c>
      <c r="L75" s="155">
        <f t="shared" si="10"/>
        <v>603.41000000000008</v>
      </c>
      <c r="M75" s="116">
        <v>1</v>
      </c>
      <c r="N75" s="1">
        <v>1</v>
      </c>
      <c r="O75" s="1">
        <f t="shared" si="12"/>
        <v>-3</v>
      </c>
      <c r="P75" s="1">
        <v>1</v>
      </c>
      <c r="Q75" s="1">
        <f t="shared" si="13"/>
        <v>-3</v>
      </c>
      <c r="R75" s="1">
        <f t="shared" si="11"/>
        <v>1</v>
      </c>
      <c r="S75" s="1">
        <v>1</v>
      </c>
      <c r="T75" s="116"/>
    </row>
    <row r="76" spans="1:20" x14ac:dyDescent="0.2">
      <c r="A76" s="82">
        <v>75</v>
      </c>
      <c r="B76" s="114" t="s">
        <v>232</v>
      </c>
      <c r="C76" s="100" t="s">
        <v>147</v>
      </c>
      <c r="D76" s="101" t="s">
        <v>147</v>
      </c>
      <c r="E76" s="100">
        <v>53.3</v>
      </c>
      <c r="F76" s="101">
        <v>58.9</v>
      </c>
      <c r="G76" s="102">
        <v>1</v>
      </c>
      <c r="H76" s="103">
        <v>48</v>
      </c>
      <c r="I76" s="104">
        <v>1</v>
      </c>
      <c r="J76" s="100">
        <v>7.8</v>
      </c>
      <c r="K76" s="101">
        <v>77.400000000000006</v>
      </c>
      <c r="L76" s="155">
        <f t="shared" si="10"/>
        <v>603.72</v>
      </c>
      <c r="M76" s="116">
        <v>1</v>
      </c>
      <c r="N76" s="1">
        <v>1</v>
      </c>
      <c r="O76" s="1">
        <f t="shared" si="12"/>
        <v>-3</v>
      </c>
      <c r="P76" s="1">
        <v>1</v>
      </c>
      <c r="Q76" s="1">
        <f t="shared" si="13"/>
        <v>-3</v>
      </c>
      <c r="R76" s="1">
        <f t="shared" si="11"/>
        <v>1</v>
      </c>
      <c r="S76" s="1">
        <v>1</v>
      </c>
      <c r="T76" s="116"/>
    </row>
    <row r="77" spans="1:20" x14ac:dyDescent="0.2">
      <c r="A77" s="82">
        <v>76</v>
      </c>
      <c r="B77" s="114" t="s">
        <v>233</v>
      </c>
      <c r="C77" s="100" t="s">
        <v>148</v>
      </c>
      <c r="D77" s="101" t="s">
        <v>148</v>
      </c>
      <c r="E77" s="100">
        <v>56.7</v>
      </c>
      <c r="F77" s="101">
        <v>62.7</v>
      </c>
      <c r="G77" s="102">
        <v>1</v>
      </c>
      <c r="H77" s="103">
        <v>51</v>
      </c>
      <c r="I77" s="104">
        <v>1</v>
      </c>
      <c r="J77" s="100">
        <v>7.3</v>
      </c>
      <c r="K77" s="101">
        <v>82.4</v>
      </c>
      <c r="L77" s="155">
        <f t="shared" si="10"/>
        <v>601.52</v>
      </c>
      <c r="M77" s="116">
        <v>1</v>
      </c>
      <c r="N77" s="1">
        <v>1</v>
      </c>
      <c r="O77" s="1">
        <f t="shared" si="12"/>
        <v>-3</v>
      </c>
      <c r="P77" s="1">
        <v>1</v>
      </c>
      <c r="Q77" s="1">
        <f t="shared" si="13"/>
        <v>-3</v>
      </c>
      <c r="R77" s="1">
        <f t="shared" si="11"/>
        <v>1</v>
      </c>
      <c r="S77" s="1">
        <v>1</v>
      </c>
      <c r="T77" s="116"/>
    </row>
    <row r="78" spans="1:20" x14ac:dyDescent="0.2">
      <c r="A78" s="82">
        <v>77</v>
      </c>
      <c r="B78" s="114" t="s">
        <v>234</v>
      </c>
      <c r="C78" s="100" t="s">
        <v>149</v>
      </c>
      <c r="D78" s="101" t="s">
        <v>149</v>
      </c>
      <c r="E78" s="100">
        <v>60</v>
      </c>
      <c r="F78" s="101">
        <v>66.3</v>
      </c>
      <c r="G78" s="102">
        <v>1</v>
      </c>
      <c r="H78" s="103">
        <v>54</v>
      </c>
      <c r="I78" s="104">
        <v>1</v>
      </c>
      <c r="J78" s="100">
        <v>6.9</v>
      </c>
      <c r="K78" s="101">
        <v>87.1</v>
      </c>
      <c r="L78" s="155">
        <f t="shared" si="10"/>
        <v>600.99</v>
      </c>
      <c r="M78" s="116">
        <v>1</v>
      </c>
      <c r="N78" s="1">
        <v>1</v>
      </c>
      <c r="O78" s="1">
        <f t="shared" si="12"/>
        <v>-3</v>
      </c>
      <c r="P78" s="1">
        <v>1</v>
      </c>
      <c r="Q78" s="1">
        <f t="shared" si="13"/>
        <v>-3</v>
      </c>
      <c r="R78" s="1">
        <f t="shared" si="11"/>
        <v>1</v>
      </c>
      <c r="S78" s="1">
        <v>1</v>
      </c>
      <c r="T78" s="116"/>
    </row>
    <row r="79" spans="1:20" x14ac:dyDescent="0.2">
      <c r="A79" s="82">
        <v>78</v>
      </c>
      <c r="B79" s="114" t="s">
        <v>235</v>
      </c>
      <c r="C79" s="100" t="s">
        <v>150</v>
      </c>
      <c r="D79" s="101" t="s">
        <v>150</v>
      </c>
      <c r="E79" s="100">
        <v>64.400000000000006</v>
      </c>
      <c r="F79" s="101">
        <v>71.2</v>
      </c>
      <c r="G79" s="102">
        <v>1</v>
      </c>
      <c r="H79" s="103">
        <v>58</v>
      </c>
      <c r="I79" s="104">
        <v>1</v>
      </c>
      <c r="J79" s="100">
        <v>6.4</v>
      </c>
      <c r="K79" s="101">
        <v>93.6</v>
      </c>
      <c r="L79" s="155">
        <f t="shared" si="10"/>
        <v>599.04</v>
      </c>
      <c r="M79" s="116">
        <v>1</v>
      </c>
      <c r="N79" s="1">
        <v>1</v>
      </c>
      <c r="O79" s="1">
        <f t="shared" si="12"/>
        <v>-3</v>
      </c>
      <c r="P79" s="1">
        <v>1</v>
      </c>
      <c r="Q79" s="1">
        <f t="shared" si="13"/>
        <v>-3</v>
      </c>
      <c r="R79" s="1">
        <f t="shared" si="11"/>
        <v>1</v>
      </c>
      <c r="S79" s="1">
        <v>1</v>
      </c>
      <c r="T79" s="116"/>
    </row>
    <row r="80" spans="1:20" x14ac:dyDescent="0.2">
      <c r="A80" s="82">
        <v>79</v>
      </c>
      <c r="B80" s="114" t="s">
        <v>236</v>
      </c>
      <c r="C80" s="100" t="s">
        <v>151</v>
      </c>
      <c r="D80" s="101" t="s">
        <v>151</v>
      </c>
      <c r="E80" s="100">
        <v>66.7</v>
      </c>
      <c r="F80" s="101">
        <v>73.7</v>
      </c>
      <c r="G80" s="102">
        <v>1</v>
      </c>
      <c r="H80" s="103">
        <v>60</v>
      </c>
      <c r="I80" s="104">
        <v>1</v>
      </c>
      <c r="J80" s="100">
        <v>6.2</v>
      </c>
      <c r="K80" s="101">
        <v>96.8</v>
      </c>
      <c r="L80" s="155">
        <f t="shared" si="10"/>
        <v>600.16</v>
      </c>
      <c r="M80" s="116">
        <v>1</v>
      </c>
      <c r="N80" s="1">
        <v>1</v>
      </c>
      <c r="O80" s="1">
        <f t="shared" si="12"/>
        <v>-3</v>
      </c>
      <c r="P80" s="1">
        <v>1</v>
      </c>
      <c r="Q80" s="1">
        <f t="shared" si="13"/>
        <v>-3</v>
      </c>
      <c r="R80" s="1">
        <f t="shared" si="11"/>
        <v>1</v>
      </c>
      <c r="S80" s="1">
        <v>1</v>
      </c>
      <c r="T80" s="116"/>
    </row>
    <row r="81" spans="1:20" x14ac:dyDescent="0.2">
      <c r="A81" s="82">
        <v>80</v>
      </c>
      <c r="B81" s="114" t="s">
        <v>237</v>
      </c>
      <c r="C81" s="100" t="s">
        <v>152</v>
      </c>
      <c r="D81" s="101" t="s">
        <v>152</v>
      </c>
      <c r="E81" s="100">
        <v>71.099999999999994</v>
      </c>
      <c r="F81" s="101">
        <v>78.599999999999994</v>
      </c>
      <c r="G81" s="102">
        <v>1</v>
      </c>
      <c r="H81" s="103">
        <v>64</v>
      </c>
      <c r="I81" s="104">
        <v>1</v>
      </c>
      <c r="J81" s="100">
        <v>5.8</v>
      </c>
      <c r="K81" s="101">
        <v>103</v>
      </c>
      <c r="L81" s="155">
        <f t="shared" si="10"/>
        <v>597.4</v>
      </c>
      <c r="M81" s="116">
        <v>1</v>
      </c>
      <c r="N81" s="1">
        <v>1</v>
      </c>
      <c r="O81" s="1">
        <f t="shared" si="12"/>
        <v>-3</v>
      </c>
      <c r="P81" s="1">
        <v>1</v>
      </c>
      <c r="Q81" s="1">
        <f t="shared" si="13"/>
        <v>-3</v>
      </c>
      <c r="R81" s="1">
        <f t="shared" si="11"/>
        <v>1</v>
      </c>
      <c r="S81" s="1">
        <v>1</v>
      </c>
      <c r="T81" s="116"/>
    </row>
    <row r="82" spans="1:20" x14ac:dyDescent="0.2">
      <c r="A82" s="82">
        <v>81</v>
      </c>
      <c r="B82" s="114" t="s">
        <v>238</v>
      </c>
      <c r="C82" s="100" t="s">
        <v>153</v>
      </c>
      <c r="D82" s="101" t="s">
        <v>153</v>
      </c>
      <c r="E82" s="100">
        <v>77.8</v>
      </c>
      <c r="F82" s="101">
        <v>86</v>
      </c>
      <c r="G82" s="102">
        <v>1</v>
      </c>
      <c r="H82" s="103">
        <v>70</v>
      </c>
      <c r="I82" s="104">
        <v>1</v>
      </c>
      <c r="J82" s="100">
        <v>5.3</v>
      </c>
      <c r="K82" s="101">
        <v>113</v>
      </c>
      <c r="L82" s="155">
        <f t="shared" si="10"/>
        <v>598.9</v>
      </c>
      <c r="M82" s="116">
        <v>1</v>
      </c>
      <c r="N82" s="1">
        <v>1</v>
      </c>
      <c r="O82" s="1">
        <f t="shared" si="12"/>
        <v>-3</v>
      </c>
      <c r="P82" s="1">
        <v>1</v>
      </c>
      <c r="Q82" s="1">
        <f t="shared" si="13"/>
        <v>-3</v>
      </c>
      <c r="R82" s="1">
        <f t="shared" si="11"/>
        <v>1</v>
      </c>
      <c r="S82" s="1">
        <v>1</v>
      </c>
      <c r="T82" s="116"/>
    </row>
    <row r="83" spans="1:20" x14ac:dyDescent="0.2">
      <c r="A83" s="82">
        <v>82</v>
      </c>
      <c r="B83" s="114" t="s">
        <v>239</v>
      </c>
      <c r="C83" s="100" t="s">
        <v>154</v>
      </c>
      <c r="D83" s="101" t="s">
        <v>154</v>
      </c>
      <c r="E83" s="100">
        <v>83.3</v>
      </c>
      <c r="F83" s="101">
        <v>92.1</v>
      </c>
      <c r="G83" s="102">
        <v>1</v>
      </c>
      <c r="H83" s="103">
        <v>75</v>
      </c>
      <c r="I83" s="104">
        <v>1</v>
      </c>
      <c r="J83" s="100">
        <v>5</v>
      </c>
      <c r="K83" s="101">
        <v>121</v>
      </c>
      <c r="L83" s="155">
        <f t="shared" si="10"/>
        <v>605</v>
      </c>
      <c r="M83" s="116">
        <v>1</v>
      </c>
      <c r="N83" s="1">
        <v>1</v>
      </c>
      <c r="O83" s="1">
        <f t="shared" si="12"/>
        <v>-3</v>
      </c>
      <c r="P83" s="1">
        <v>1</v>
      </c>
      <c r="Q83" s="1">
        <f t="shared" si="13"/>
        <v>-3</v>
      </c>
      <c r="R83" s="1">
        <f t="shared" si="11"/>
        <v>1</v>
      </c>
      <c r="S83" s="1">
        <v>1</v>
      </c>
      <c r="T83" s="116"/>
    </row>
    <row r="84" spans="1:20" x14ac:dyDescent="0.2">
      <c r="A84" s="82">
        <v>83</v>
      </c>
      <c r="B84" s="114" t="s">
        <v>240</v>
      </c>
      <c r="C84" s="100" t="s">
        <v>155</v>
      </c>
      <c r="D84" s="101" t="s">
        <v>155</v>
      </c>
      <c r="E84" s="100">
        <v>86.7</v>
      </c>
      <c r="F84" s="101">
        <v>95.8</v>
      </c>
      <c r="G84" s="102">
        <v>1</v>
      </c>
      <c r="H84" s="103">
        <v>78</v>
      </c>
      <c r="I84" s="104">
        <v>1</v>
      </c>
      <c r="J84" s="100">
        <v>4.8</v>
      </c>
      <c r="K84" s="101">
        <v>126</v>
      </c>
      <c r="L84" s="155">
        <f t="shared" si="10"/>
        <v>604.79999999999995</v>
      </c>
      <c r="M84" s="116">
        <v>1</v>
      </c>
      <c r="N84" s="1">
        <v>1</v>
      </c>
      <c r="O84" s="1">
        <f t="shared" si="12"/>
        <v>-3</v>
      </c>
      <c r="P84" s="1">
        <v>1</v>
      </c>
      <c r="Q84" s="1">
        <f t="shared" si="13"/>
        <v>-3</v>
      </c>
      <c r="R84" s="1">
        <f t="shared" si="11"/>
        <v>1</v>
      </c>
      <c r="S84" s="1">
        <v>1</v>
      </c>
      <c r="T84" s="116"/>
    </row>
    <row r="85" spans="1:20" x14ac:dyDescent="0.2">
      <c r="A85" s="82">
        <v>84</v>
      </c>
      <c r="B85" s="114" t="s">
        <v>241</v>
      </c>
      <c r="C85" s="100" t="s">
        <v>156</v>
      </c>
      <c r="D85" s="101" t="s">
        <v>156</v>
      </c>
      <c r="E85" s="100">
        <v>94.4</v>
      </c>
      <c r="F85" s="101">
        <v>104</v>
      </c>
      <c r="G85" s="102">
        <v>1</v>
      </c>
      <c r="H85" s="103">
        <v>85</v>
      </c>
      <c r="I85" s="104">
        <v>1</v>
      </c>
      <c r="J85" s="100">
        <v>4.4000000000000004</v>
      </c>
      <c r="K85" s="101">
        <v>137</v>
      </c>
      <c r="L85" s="155">
        <f t="shared" si="10"/>
        <v>602.80000000000007</v>
      </c>
      <c r="M85" s="116">
        <v>1</v>
      </c>
      <c r="N85" s="1">
        <v>1</v>
      </c>
      <c r="O85" s="1">
        <f t="shared" si="12"/>
        <v>-3</v>
      </c>
      <c r="P85" s="1">
        <v>1</v>
      </c>
      <c r="Q85" s="1">
        <f t="shared" si="13"/>
        <v>-3</v>
      </c>
      <c r="R85" s="1">
        <f t="shared" si="11"/>
        <v>1</v>
      </c>
      <c r="S85" s="1">
        <v>1</v>
      </c>
      <c r="T85" s="116"/>
    </row>
    <row r="86" spans="1:20" x14ac:dyDescent="0.2">
      <c r="A86" s="82">
        <v>85</v>
      </c>
      <c r="B86" s="114" t="s">
        <v>242</v>
      </c>
      <c r="C86" s="100" t="s">
        <v>157</v>
      </c>
      <c r="D86" s="101" t="s">
        <v>157</v>
      </c>
      <c r="E86" s="100">
        <v>100</v>
      </c>
      <c r="F86" s="101">
        <v>111</v>
      </c>
      <c r="G86" s="102">
        <v>1</v>
      </c>
      <c r="H86" s="103">
        <v>90</v>
      </c>
      <c r="I86" s="104">
        <v>1</v>
      </c>
      <c r="J86" s="100">
        <v>4.0999999999999996</v>
      </c>
      <c r="K86" s="101">
        <v>146</v>
      </c>
      <c r="L86" s="155">
        <f t="shared" si="10"/>
        <v>598.59999999999991</v>
      </c>
      <c r="M86" s="116">
        <v>1</v>
      </c>
      <c r="N86" s="1">
        <v>1</v>
      </c>
      <c r="O86" s="1">
        <f t="shared" si="12"/>
        <v>-3</v>
      </c>
      <c r="P86" s="1">
        <v>1</v>
      </c>
      <c r="Q86" s="1">
        <f t="shared" si="13"/>
        <v>-3</v>
      </c>
      <c r="R86" s="1">
        <f t="shared" si="11"/>
        <v>1</v>
      </c>
      <c r="S86" s="1">
        <v>1</v>
      </c>
      <c r="T86" s="116"/>
    </row>
    <row r="87" spans="1:20" x14ac:dyDescent="0.2">
      <c r="A87" s="82">
        <v>86</v>
      </c>
      <c r="B87" s="114" t="s">
        <v>243</v>
      </c>
      <c r="C87" s="100" t="s">
        <v>158</v>
      </c>
      <c r="D87" s="101" t="s">
        <v>158</v>
      </c>
      <c r="E87" s="100">
        <v>111</v>
      </c>
      <c r="F87" s="101">
        <v>123</v>
      </c>
      <c r="G87" s="102">
        <v>1</v>
      </c>
      <c r="H87" s="103">
        <v>100</v>
      </c>
      <c r="I87" s="104">
        <v>1</v>
      </c>
      <c r="J87" s="100">
        <v>3.7</v>
      </c>
      <c r="K87" s="101">
        <v>162</v>
      </c>
      <c r="L87" s="155">
        <f t="shared" si="10"/>
        <v>599.4</v>
      </c>
      <c r="M87" s="116">
        <v>1</v>
      </c>
      <c r="N87" s="1">
        <v>1</v>
      </c>
      <c r="O87" s="1">
        <f t="shared" si="12"/>
        <v>-3</v>
      </c>
      <c r="P87" s="1">
        <v>1</v>
      </c>
      <c r="Q87" s="1">
        <f t="shared" si="13"/>
        <v>-3</v>
      </c>
      <c r="R87" s="1">
        <f t="shared" si="11"/>
        <v>1</v>
      </c>
      <c r="S87" s="1">
        <v>1</v>
      </c>
      <c r="T87" s="116"/>
    </row>
    <row r="88" spans="1:20" x14ac:dyDescent="0.2">
      <c r="A88" s="82">
        <v>87</v>
      </c>
      <c r="B88" s="114" t="s">
        <v>244</v>
      </c>
      <c r="C88" s="100" t="s">
        <v>159</v>
      </c>
      <c r="D88" s="101" t="s">
        <v>159</v>
      </c>
      <c r="E88" s="100">
        <v>122</v>
      </c>
      <c r="F88" s="101">
        <v>135</v>
      </c>
      <c r="G88" s="102">
        <v>1</v>
      </c>
      <c r="H88" s="103">
        <v>110</v>
      </c>
      <c r="I88" s="104">
        <v>1</v>
      </c>
      <c r="J88" s="100">
        <v>3.4</v>
      </c>
      <c r="K88" s="101">
        <v>177</v>
      </c>
      <c r="L88" s="155">
        <f t="shared" si="10"/>
        <v>601.79999999999995</v>
      </c>
      <c r="M88" s="116">
        <v>1</v>
      </c>
      <c r="N88" s="1">
        <v>1</v>
      </c>
      <c r="O88" s="1">
        <f t="shared" si="12"/>
        <v>-3</v>
      </c>
      <c r="P88" s="1">
        <v>1</v>
      </c>
      <c r="Q88" s="1">
        <f t="shared" si="13"/>
        <v>-3</v>
      </c>
      <c r="R88" s="1">
        <f t="shared" si="11"/>
        <v>1</v>
      </c>
      <c r="S88" s="1">
        <v>1</v>
      </c>
      <c r="T88" s="116"/>
    </row>
    <row r="89" spans="1:20" x14ac:dyDescent="0.2">
      <c r="A89" s="82">
        <v>88</v>
      </c>
      <c r="B89" s="114" t="s">
        <v>245</v>
      </c>
      <c r="C89" s="100" t="s">
        <v>160</v>
      </c>
      <c r="D89" s="101" t="s">
        <v>160</v>
      </c>
      <c r="E89" s="100">
        <v>133</v>
      </c>
      <c r="F89" s="101">
        <v>147</v>
      </c>
      <c r="G89" s="102">
        <v>1</v>
      </c>
      <c r="H89" s="103">
        <v>120</v>
      </c>
      <c r="I89" s="104">
        <v>1</v>
      </c>
      <c r="J89" s="100">
        <v>3.1</v>
      </c>
      <c r="K89" s="101">
        <v>193</v>
      </c>
      <c r="L89" s="155">
        <f t="shared" si="10"/>
        <v>598.30000000000007</v>
      </c>
      <c r="M89" s="116">
        <v>1</v>
      </c>
      <c r="N89" s="1">
        <v>1</v>
      </c>
      <c r="O89" s="1">
        <f t="shared" si="12"/>
        <v>-3</v>
      </c>
      <c r="P89" s="1">
        <v>1</v>
      </c>
      <c r="Q89" s="1">
        <f t="shared" si="13"/>
        <v>-3</v>
      </c>
      <c r="R89" s="1">
        <f t="shared" si="11"/>
        <v>1</v>
      </c>
      <c r="S89" s="1">
        <v>1</v>
      </c>
      <c r="T89" s="116"/>
    </row>
    <row r="90" spans="1:20" x14ac:dyDescent="0.2">
      <c r="A90" s="121">
        <v>89</v>
      </c>
      <c r="B90" s="114" t="s">
        <v>246</v>
      </c>
      <c r="C90" s="100" t="s">
        <v>161</v>
      </c>
      <c r="D90" s="101" t="s">
        <v>161</v>
      </c>
      <c r="E90" s="100">
        <v>144</v>
      </c>
      <c r="F90" s="101">
        <v>159</v>
      </c>
      <c r="G90" s="102">
        <v>1</v>
      </c>
      <c r="H90" s="103">
        <v>130</v>
      </c>
      <c r="I90" s="104">
        <v>1</v>
      </c>
      <c r="J90" s="100">
        <v>2.9</v>
      </c>
      <c r="K90" s="101">
        <v>209</v>
      </c>
      <c r="L90" s="155">
        <f t="shared" si="10"/>
        <v>606.1</v>
      </c>
      <c r="M90" s="122">
        <v>180</v>
      </c>
      <c r="N90" s="123">
        <v>1</v>
      </c>
      <c r="O90" s="123">
        <f t="shared" si="12"/>
        <v>-3</v>
      </c>
      <c r="P90" s="123">
        <v>50</v>
      </c>
      <c r="Q90" s="123">
        <f t="shared" si="13"/>
        <v>-150</v>
      </c>
      <c r="R90" s="123">
        <v>1</v>
      </c>
      <c r="S90" s="123">
        <v>46</v>
      </c>
      <c r="T90" s="122">
        <v>1</v>
      </c>
    </row>
    <row r="91" spans="1:20" x14ac:dyDescent="0.2">
      <c r="A91" s="82">
        <v>90</v>
      </c>
      <c r="B91" s="114" t="s">
        <v>247</v>
      </c>
      <c r="C91" s="100" t="s">
        <v>162</v>
      </c>
      <c r="D91" s="101" t="s">
        <v>162</v>
      </c>
      <c r="E91" s="100">
        <v>167</v>
      </c>
      <c r="F91" s="101">
        <v>185</v>
      </c>
      <c r="G91" s="102">
        <v>1</v>
      </c>
      <c r="H91" s="103">
        <v>150</v>
      </c>
      <c r="I91" s="104">
        <v>1</v>
      </c>
      <c r="J91" s="100">
        <v>2.5</v>
      </c>
      <c r="K91" s="101">
        <v>243</v>
      </c>
      <c r="L91" s="155">
        <f t="shared" si="10"/>
        <v>607.5</v>
      </c>
      <c r="M91" s="116">
        <v>1</v>
      </c>
      <c r="N91" s="1">
        <v>1</v>
      </c>
      <c r="O91" s="1">
        <f t="shared" si="12"/>
        <v>-3</v>
      </c>
      <c r="P91" s="1">
        <v>1</v>
      </c>
      <c r="Q91" s="1">
        <f t="shared" si="13"/>
        <v>-3</v>
      </c>
      <c r="R91" s="1">
        <f t="shared" si="11"/>
        <v>1</v>
      </c>
      <c r="S91" s="1">
        <v>1</v>
      </c>
      <c r="T91" s="116"/>
    </row>
    <row r="92" spans="1:20" x14ac:dyDescent="0.2">
      <c r="A92" s="82">
        <v>91</v>
      </c>
      <c r="B92" s="114" t="s">
        <v>248</v>
      </c>
      <c r="C92" s="100" t="s">
        <v>163</v>
      </c>
      <c r="D92" s="101" t="s">
        <v>163</v>
      </c>
      <c r="E92" s="100">
        <v>178</v>
      </c>
      <c r="F92" s="101">
        <v>197</v>
      </c>
      <c r="G92" s="102">
        <v>1</v>
      </c>
      <c r="H92" s="103">
        <v>160</v>
      </c>
      <c r="I92" s="104">
        <v>1</v>
      </c>
      <c r="J92" s="100">
        <v>2.2999999999999998</v>
      </c>
      <c r="K92" s="101">
        <v>259</v>
      </c>
      <c r="L92" s="155">
        <f t="shared" si="10"/>
        <v>595.69999999999993</v>
      </c>
      <c r="M92" s="116">
        <v>1</v>
      </c>
      <c r="N92" s="1">
        <v>1</v>
      </c>
      <c r="O92" s="1">
        <f t="shared" si="12"/>
        <v>-3</v>
      </c>
      <c r="P92" s="1">
        <v>1</v>
      </c>
      <c r="Q92" s="1">
        <f t="shared" si="13"/>
        <v>-3</v>
      </c>
      <c r="R92" s="1">
        <f t="shared" si="11"/>
        <v>1</v>
      </c>
      <c r="S92" s="1">
        <v>1</v>
      </c>
      <c r="T92" s="116"/>
    </row>
    <row r="93" spans="1:20" x14ac:dyDescent="0.2">
      <c r="A93" s="82">
        <v>92</v>
      </c>
      <c r="B93" s="114" t="s">
        <v>249</v>
      </c>
      <c r="C93" s="100" t="s">
        <v>164</v>
      </c>
      <c r="D93" s="101" t="s">
        <v>164</v>
      </c>
      <c r="E93" s="100">
        <v>189</v>
      </c>
      <c r="F93" s="101">
        <v>209</v>
      </c>
      <c r="G93" s="102">
        <v>1</v>
      </c>
      <c r="H93" s="103">
        <v>170</v>
      </c>
      <c r="I93" s="104">
        <v>1</v>
      </c>
      <c r="J93" s="100">
        <v>2.2000000000000002</v>
      </c>
      <c r="K93" s="101">
        <v>275</v>
      </c>
      <c r="L93" s="155">
        <f t="shared" si="10"/>
        <v>605</v>
      </c>
      <c r="M93" s="116">
        <v>1</v>
      </c>
      <c r="N93" s="1">
        <v>1</v>
      </c>
      <c r="O93" s="1">
        <f t="shared" si="12"/>
        <v>-3</v>
      </c>
      <c r="P93" s="1">
        <v>1</v>
      </c>
      <c r="Q93" s="1">
        <f t="shared" si="13"/>
        <v>-3</v>
      </c>
      <c r="R93" s="1">
        <f t="shared" si="11"/>
        <v>1</v>
      </c>
      <c r="S93" s="1">
        <v>1</v>
      </c>
      <c r="T93" s="116"/>
    </row>
    <row r="94" spans="1:20" ht="15.75" thickBot="1" x14ac:dyDescent="0.25">
      <c r="A94" s="141">
        <v>93</v>
      </c>
      <c r="B94" s="115" t="s">
        <v>165</v>
      </c>
      <c r="C94" s="105" t="s">
        <v>166</v>
      </c>
      <c r="D94" s="106" t="s">
        <v>166</v>
      </c>
      <c r="E94" s="105">
        <v>209</v>
      </c>
      <c r="F94" s="106">
        <v>231</v>
      </c>
      <c r="G94" s="107">
        <v>1</v>
      </c>
      <c r="H94" s="108">
        <v>188</v>
      </c>
      <c r="I94" s="109">
        <v>1</v>
      </c>
      <c r="J94" s="105">
        <v>2</v>
      </c>
      <c r="K94" s="106">
        <v>328</v>
      </c>
      <c r="L94" s="155">
        <f t="shared" si="10"/>
        <v>656</v>
      </c>
      <c r="M94" s="122">
        <v>260</v>
      </c>
      <c r="N94" s="123">
        <v>1</v>
      </c>
      <c r="O94" s="123">
        <f t="shared" si="12"/>
        <v>-3</v>
      </c>
      <c r="P94" s="123">
        <v>50</v>
      </c>
      <c r="Q94" s="123">
        <f t="shared" si="13"/>
        <v>-150</v>
      </c>
      <c r="R94" s="123">
        <f t="shared" si="11"/>
        <v>1</v>
      </c>
      <c r="S94" s="123">
        <v>63</v>
      </c>
      <c r="T94" s="122">
        <v>1</v>
      </c>
    </row>
    <row r="95" spans="1:20" x14ac:dyDescent="0.2">
      <c r="B95" s="116"/>
      <c r="C95" s="116"/>
      <c r="D95" s="116"/>
      <c r="E95" s="116"/>
      <c r="F95" s="116"/>
      <c r="G95" s="116"/>
      <c r="H95" s="116"/>
      <c r="I95" s="116"/>
    </row>
    <row r="96" spans="1:20" x14ac:dyDescent="0.2">
      <c r="B96" s="120"/>
      <c r="C96" s="120"/>
      <c r="D96" s="120"/>
      <c r="E96" s="120"/>
      <c r="F96" s="120"/>
      <c r="G96" s="120"/>
      <c r="H96" s="120"/>
      <c r="I96" s="120"/>
    </row>
    <row r="97" spans="2:9" x14ac:dyDescent="0.2">
      <c r="B97" s="117"/>
      <c r="C97" s="117"/>
      <c r="D97" s="117"/>
      <c r="E97" s="117"/>
      <c r="F97" s="117"/>
      <c r="G97" s="117"/>
      <c r="H97" s="117"/>
      <c r="I97" s="117"/>
    </row>
    <row r="98" spans="2:9" x14ac:dyDescent="0.2">
      <c r="B98" s="117"/>
      <c r="C98" s="117"/>
      <c r="D98" s="117"/>
      <c r="E98" s="117"/>
      <c r="F98" s="117"/>
      <c r="G98" s="117"/>
      <c r="H98" s="117"/>
      <c r="I98" s="117"/>
    </row>
    <row r="99" spans="2:9" x14ac:dyDescent="0.2">
      <c r="B99" s="117"/>
      <c r="C99" s="117"/>
      <c r="D99" s="117"/>
      <c r="E99" s="117"/>
      <c r="F99" s="117"/>
      <c r="G99" s="117"/>
      <c r="H99" s="117"/>
      <c r="I99" s="117"/>
    </row>
    <row r="100" spans="2:9" x14ac:dyDescent="0.2">
      <c r="B100" s="117"/>
      <c r="C100" s="117"/>
      <c r="D100" s="117"/>
      <c r="E100" s="117"/>
      <c r="F100" s="117"/>
      <c r="G100" s="117"/>
      <c r="H100" s="117"/>
      <c r="I100" s="117"/>
    </row>
    <row r="101" spans="2:9" x14ac:dyDescent="0.2">
      <c r="B101" s="117"/>
      <c r="C101" s="117"/>
      <c r="D101" s="117"/>
      <c r="E101" s="117"/>
      <c r="F101" s="117"/>
      <c r="G101" s="117"/>
      <c r="H101" s="117"/>
      <c r="I101" s="117"/>
    </row>
    <row r="102" spans="2:9" x14ac:dyDescent="0.2">
      <c r="B102" s="117"/>
      <c r="C102" s="117"/>
      <c r="D102" s="117"/>
      <c r="E102" s="117"/>
      <c r="F102" s="117"/>
      <c r="G102" s="117"/>
      <c r="H102" s="117"/>
      <c r="I102" s="117"/>
    </row>
    <row r="103" spans="2:9" x14ac:dyDescent="0.2">
      <c r="B103" s="117"/>
      <c r="C103" s="117"/>
      <c r="D103" s="117"/>
      <c r="E103" s="117"/>
      <c r="F103" s="117"/>
      <c r="G103" s="117"/>
      <c r="H103" s="117"/>
      <c r="I103" s="117"/>
    </row>
    <row r="104" spans="2:9" x14ac:dyDescent="0.2">
      <c r="B104" s="116"/>
      <c r="C104" s="116"/>
      <c r="D104" s="116"/>
      <c r="E104" s="116"/>
      <c r="F104" s="116"/>
      <c r="G104" s="116"/>
      <c r="H104" s="116"/>
      <c r="I104" s="116"/>
    </row>
    <row r="105" spans="2:9" x14ac:dyDescent="0.2">
      <c r="B105" s="116"/>
      <c r="C105" s="116"/>
      <c r="D105" s="116"/>
      <c r="E105" s="116"/>
      <c r="F105" s="116"/>
      <c r="G105" s="116"/>
      <c r="H105" s="116"/>
      <c r="I105" s="116"/>
    </row>
    <row r="106" spans="2:9" x14ac:dyDescent="0.2">
      <c r="B106" s="116"/>
      <c r="C106" s="116"/>
      <c r="D106" s="116"/>
      <c r="E106" s="116"/>
      <c r="F106" s="116"/>
      <c r="G106" s="116"/>
      <c r="H106" s="116"/>
      <c r="I106" s="116"/>
    </row>
  </sheetData>
  <mergeCells count="2">
    <mergeCell ref="C1:D1"/>
    <mergeCell ref="E1:F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</vt:lpstr>
      <vt:lpstr>Лист1</vt:lpstr>
      <vt:lpstr>Data</vt:lpstr>
      <vt:lpstr>Протокол!Область_печати</vt:lpstr>
    </vt:vector>
  </TitlesOfParts>
  <Company>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Ivanov</dc:creator>
  <cp:lastModifiedBy>Дамир Бакиев</cp:lastModifiedBy>
  <cp:lastPrinted>2013-07-31T10:57:17Z</cp:lastPrinted>
  <dcterms:created xsi:type="dcterms:W3CDTF">2008-04-06T09:42:01Z</dcterms:created>
  <dcterms:modified xsi:type="dcterms:W3CDTF">2016-06-27T08:49:16Z</dcterms:modified>
</cp:coreProperties>
</file>